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C:\Users\mrnj1\Downloads\SLA_Report\"/>
    </mc:Choice>
  </mc:AlternateContent>
  <xr:revisionPtr revIDLastSave="0" documentId="13_ncr:1_{FCF131D6-6599-41BD-8C2E-63038CF715DF}" xr6:coauthVersionLast="47" xr6:coauthVersionMax="47" xr10:uidLastSave="{00000000-0000-0000-0000-000000000000}"/>
  <bookViews>
    <workbookView xWindow="-108" yWindow="-108" windowWidth="23256" windowHeight="13176" activeTab="3" xr2:uid="{00000000-000D-0000-FFFF-FFFF00000000}"/>
  </bookViews>
  <sheets>
    <sheet name="SLA_Forecasting_Data" sheetId="1" r:id="rId1"/>
    <sheet name="Pivot" sheetId="2" r:id="rId2"/>
    <sheet name="Sheet1" sheetId="4" r:id="rId3"/>
    <sheet name="Forecasting" sheetId="3" r:id="rId4"/>
  </sheets>
  <definedNames>
    <definedName name="_xlchart.v1.0" hidden="1">Forecasting!$B$2:$B$25</definedName>
    <definedName name="_xlchart.v1.1" hidden="1">Forecasting!$C$1</definedName>
    <definedName name="_xlchart.v1.2" hidden="1">Forecasting!$C$2:$C$25</definedName>
    <definedName name="_xlchart.v1.3" hidden="1">Forecasting!$D$1</definedName>
    <definedName name="_xlchart.v1.4" hidden="1">Forecasting!$D$2:$D$25</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3" l="1"/>
  <c r="D25" i="3"/>
  <c r="D24" i="3"/>
  <c r="D23" i="3"/>
  <c r="D22" i="3"/>
  <c r="D21" i="3"/>
  <c r="D20" i="3"/>
  <c r="D19" i="3"/>
  <c r="D18" i="3"/>
  <c r="D17" i="3"/>
  <c r="D16" i="3"/>
  <c r="D15" i="3"/>
  <c r="C3" i="3"/>
  <c r="C4" i="3"/>
  <c r="C5" i="3"/>
  <c r="C6" i="3"/>
  <c r="C7" i="3"/>
  <c r="C8" i="3"/>
  <c r="C9" i="3"/>
  <c r="C10" i="3"/>
  <c r="C11" i="3"/>
  <c r="C12" i="3"/>
  <c r="C13" i="3"/>
  <c r="C2" i="3"/>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alcChain>
</file>

<file path=xl/sharedStrings.xml><?xml version="1.0" encoding="utf-8"?>
<sst xmlns="http://schemas.openxmlformats.org/spreadsheetml/2006/main" count="170" uniqueCount="43">
  <si>
    <t>Month</t>
  </si>
  <si>
    <t>Process</t>
  </si>
  <si>
    <t>Tickets_Received</t>
  </si>
  <si>
    <t>Tickets_Resolved</t>
  </si>
  <si>
    <t>SLA_Target</t>
  </si>
  <si>
    <t>SLA_Achieved</t>
  </si>
  <si>
    <t>Jan</t>
  </si>
  <si>
    <t>Support</t>
  </si>
  <si>
    <t>Sales</t>
  </si>
  <si>
    <t>Operations</t>
  </si>
  <si>
    <t>Finance</t>
  </si>
  <si>
    <t>Feb</t>
  </si>
  <si>
    <t>Mar</t>
  </si>
  <si>
    <t>Apr</t>
  </si>
  <si>
    <t>May</t>
  </si>
  <si>
    <t>Jun</t>
  </si>
  <si>
    <t>Jul</t>
  </si>
  <si>
    <t>Aug</t>
  </si>
  <si>
    <t>Sep</t>
  </si>
  <si>
    <t>Oct</t>
  </si>
  <si>
    <t>Nov</t>
  </si>
  <si>
    <t>Dec</t>
  </si>
  <si>
    <t>Backlog</t>
  </si>
  <si>
    <t>SLA Achievement</t>
  </si>
  <si>
    <t>Row Labels</t>
  </si>
  <si>
    <t>Grand Total</t>
  </si>
  <si>
    <t>Avg SLA_Achieved</t>
  </si>
  <si>
    <t>Tickets Received</t>
  </si>
  <si>
    <t>Tickets Resolved</t>
  </si>
  <si>
    <t>Month No</t>
  </si>
  <si>
    <t>Forecast</t>
  </si>
  <si>
    <t>Next Jan</t>
  </si>
  <si>
    <t>Next Feb</t>
  </si>
  <si>
    <t>Next Mar</t>
  </si>
  <si>
    <t>Next Apr</t>
  </si>
  <si>
    <t>Next May</t>
  </si>
  <si>
    <t>Next Jun</t>
  </si>
  <si>
    <t>Next Jul</t>
  </si>
  <si>
    <t>Next Aug</t>
  </si>
  <si>
    <t>Next Sep</t>
  </si>
  <si>
    <t>Next Oct</t>
  </si>
  <si>
    <t>Next Nov</t>
  </si>
  <si>
    <t>Next 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</si>
</sst>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0" fillId="0" borderId="0" xfId="0" applyAlignment="1">
      <alignment horizontal="center"/>
    </xf>
    <xf numFmtId="9" fontId="0" fillId="0" borderId="0" xfId="1" applyFont="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2" fontId="0" fillId="0" borderId="1" xfId="0" applyNumberFormat="1" applyBorder="1"/>
    <xf numFmtId="0" fontId="0" fillId="0" borderId="1" xfId="0" applyBorder="1" applyAlignment="1">
      <alignment horizontal="center"/>
    </xf>
    <xf numFmtId="2" fontId="0" fillId="0" borderId="1" xfId="0" applyNumberFormat="1" applyBorder="1" applyAlignment="1">
      <alignment horizontal="center"/>
    </xf>
    <xf numFmtId="0" fontId="0" fillId="0" borderId="1" xfId="0" pivotButton="1" applyBorder="1" applyAlignment="1">
      <alignment horizontal="left"/>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NumberFormat="1" applyBorder="1"/>
    <xf numFmtId="0" fontId="0" fillId="0" borderId="1" xfId="0" pivotButton="1" applyBorder="1" applyAlignment="1"/>
    <xf numFmtId="0" fontId="0" fillId="0" borderId="1" xfId="0" applyBorder="1" applyAlignment="1"/>
    <xf numFmtId="0" fontId="0" fillId="0" borderId="1" xfId="0" applyNumberFormat="1" applyBorder="1" applyAlignment="1"/>
    <xf numFmtId="2" fontId="0" fillId="0" borderId="1" xfId="0" applyNumberFormat="1" applyBorder="1" applyAlignment="1"/>
    <xf numFmtId="0" fontId="0" fillId="0" borderId="1" xfId="0" applyNumberForma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2" fontId="0" fillId="0" borderId="7"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2" fontId="0" fillId="0" borderId="2" xfId="0" applyNumberFormat="1" applyBorder="1" applyAlignment="1">
      <alignment horizontal="center"/>
    </xf>
  </cellXfs>
  <cellStyles count="2">
    <cellStyle name="Normal" xfId="0" builtinId="0"/>
    <cellStyle name="Percent" xfId="1" builtinId="5"/>
  </cellStyles>
  <dxfs count="167">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left"/>
    </dxf>
    <dxf>
      <alignment horizontal="left"/>
    </dxf>
    <dxf>
      <alignment horizontal="left"/>
    </dxf>
    <dxf>
      <alignment horizontal="left"/>
    </dxf>
    <dxf>
      <alignment horizontal="lef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left"/>
    </dxf>
    <dxf>
      <alignment horizontal="left"/>
    </dxf>
    <dxf>
      <alignment horizontal="left"/>
    </dxf>
    <dxf>
      <alignment horizontal="left"/>
    </dxf>
    <dxf>
      <alignment horizontal="lef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numFmt numFmtId="2" formatCode="0.00"/>
    </dxf>
    <dxf>
      <alignment horizontal="left"/>
    </dxf>
    <dxf>
      <alignment horizontal="left"/>
    </dxf>
    <dxf>
      <alignment horizontal="left"/>
    </dxf>
    <dxf>
      <alignment horizontal="left"/>
    </dxf>
    <dxf>
      <alignment horizontal="lef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left"/>
    </dxf>
    <dxf>
      <alignment horizontal="left"/>
    </dxf>
    <dxf>
      <alignment horizontal="left"/>
    </dxf>
    <dxf>
      <alignment horizontal="left"/>
    </dxf>
    <dxf>
      <alignment horizontal="lef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[SLA_Forecasting_Dataset.xlsx]Pivot!PivotTable4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SLA received vs SLA resolved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c:f>
              <c:strCache>
                <c:ptCount val="1"/>
                <c:pt idx="0">
                  <c:v>Tickets Received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Pivot!$G$4:$G$16</c:f>
              <c:numCache>
                <c:formatCode>General</c:formatCode>
                <c:ptCount val="12"/>
                <c:pt idx="0">
                  <c:v>4003</c:v>
                </c:pt>
                <c:pt idx="1">
                  <c:v>4572</c:v>
                </c:pt>
                <c:pt idx="2">
                  <c:v>4421</c:v>
                </c:pt>
                <c:pt idx="3">
                  <c:v>4059</c:v>
                </c:pt>
                <c:pt idx="4">
                  <c:v>4248</c:v>
                </c:pt>
                <c:pt idx="5">
                  <c:v>5518</c:v>
                </c:pt>
                <c:pt idx="6">
                  <c:v>4280</c:v>
                </c:pt>
                <c:pt idx="7">
                  <c:v>4578</c:v>
                </c:pt>
                <c:pt idx="8">
                  <c:v>4775</c:v>
                </c:pt>
                <c:pt idx="9">
                  <c:v>4984</c:v>
                </c:pt>
                <c:pt idx="10">
                  <c:v>4134</c:v>
                </c:pt>
                <c:pt idx="11">
                  <c:v>4717</c:v>
                </c:pt>
              </c:numCache>
            </c:numRef>
          </c:val>
          <c:extLst>
            <c:ext xmlns:c16="http://schemas.microsoft.com/office/drawing/2014/chart" uri="{C3380CC4-5D6E-409C-BE32-E72D297353CC}">
              <c16:uniqueId val="{00000000-EE49-4C91-9054-F9608ED83ABB}"/>
            </c:ext>
          </c:extLst>
        </c:ser>
        <c:dLbls>
          <c:showLegendKey val="0"/>
          <c:showVal val="1"/>
          <c:showCatName val="0"/>
          <c:showSerName val="0"/>
          <c:showPercent val="0"/>
          <c:showBubbleSize val="0"/>
        </c:dLbls>
        <c:gapWidth val="66"/>
        <c:overlap val="-27"/>
        <c:axId val="526353535"/>
        <c:axId val="526349215"/>
      </c:barChart>
      <c:lineChart>
        <c:grouping val="standard"/>
        <c:varyColors val="0"/>
        <c:ser>
          <c:idx val="1"/>
          <c:order val="1"/>
          <c:tx>
            <c:strRef>
              <c:f>Pivot!$H$3</c:f>
              <c:strCache>
                <c:ptCount val="1"/>
                <c:pt idx="0">
                  <c:v>Tickets Resolved</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Pivot!$H$4:$H$16</c:f>
              <c:numCache>
                <c:formatCode>General</c:formatCode>
                <c:ptCount val="12"/>
                <c:pt idx="0">
                  <c:v>3309</c:v>
                </c:pt>
                <c:pt idx="1">
                  <c:v>4136</c:v>
                </c:pt>
                <c:pt idx="2">
                  <c:v>3851</c:v>
                </c:pt>
                <c:pt idx="3">
                  <c:v>3319</c:v>
                </c:pt>
                <c:pt idx="4">
                  <c:v>3860</c:v>
                </c:pt>
                <c:pt idx="5">
                  <c:v>4627</c:v>
                </c:pt>
                <c:pt idx="6">
                  <c:v>3942</c:v>
                </c:pt>
                <c:pt idx="7">
                  <c:v>3827</c:v>
                </c:pt>
                <c:pt idx="8">
                  <c:v>4283</c:v>
                </c:pt>
                <c:pt idx="9">
                  <c:v>4372</c:v>
                </c:pt>
                <c:pt idx="10">
                  <c:v>3529</c:v>
                </c:pt>
                <c:pt idx="11">
                  <c:v>3837</c:v>
                </c:pt>
              </c:numCache>
            </c:numRef>
          </c:val>
          <c:smooth val="0"/>
          <c:extLst>
            <c:ext xmlns:c16="http://schemas.microsoft.com/office/drawing/2014/chart" uri="{C3380CC4-5D6E-409C-BE32-E72D297353CC}">
              <c16:uniqueId val="{00000001-EE49-4C91-9054-F9608ED83ABB}"/>
            </c:ext>
          </c:extLst>
        </c:ser>
        <c:dLbls>
          <c:showLegendKey val="0"/>
          <c:showVal val="1"/>
          <c:showCatName val="0"/>
          <c:showSerName val="0"/>
          <c:showPercent val="0"/>
          <c:showBubbleSize val="0"/>
        </c:dLbls>
        <c:marker val="1"/>
        <c:smooth val="0"/>
        <c:axId val="526353535"/>
        <c:axId val="526349215"/>
      </c:lineChart>
      <c:catAx>
        <c:axId val="52635353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6349215"/>
        <c:crosses val="autoZero"/>
        <c:auto val="1"/>
        <c:lblAlgn val="ctr"/>
        <c:lblOffset val="100"/>
        <c:noMultiLvlLbl val="0"/>
      </c:catAx>
      <c:valAx>
        <c:axId val="5263492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6353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[SLA_Forecasting_Dataset.xlsx]Pivot!PivotTable3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SLA by Process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Pivot!$B$23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E24-4633-8DDA-DB24790F35E4}"/>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E24-4633-8DDA-DB24790F35E4}"/>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E24-4633-8DDA-DB24790F35E4}"/>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E24-4633-8DDA-DB24790F35E4}"/>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Pivot!$A$24:$A$28</c:f>
              <c:strCache>
                <c:ptCount val="4"/>
                <c:pt idx="0">
                  <c:v>Finance</c:v>
                </c:pt>
                <c:pt idx="1">
                  <c:v>Operations</c:v>
                </c:pt>
                <c:pt idx="2">
                  <c:v>Sales</c:v>
                </c:pt>
                <c:pt idx="3">
                  <c:v>Support</c:v>
                </c:pt>
              </c:strCache>
            </c:strRef>
          </c:cat>
          <c:val>
            <c:numRef>
              <c:f>Pivot!$B$24:$B$28</c:f>
              <c:numCache>
                <c:formatCode>General</c:formatCode>
                <c:ptCount val="4"/>
                <c:pt idx="0">
                  <c:v>91.485833333333332</c:v>
                </c:pt>
                <c:pt idx="1">
                  <c:v>93.644166666666663</c:v>
                </c:pt>
                <c:pt idx="2">
                  <c:v>92.98</c:v>
                </c:pt>
                <c:pt idx="3">
                  <c:v>92.470000000000013</c:v>
                </c:pt>
              </c:numCache>
            </c:numRef>
          </c:val>
          <c:extLst>
            <c:ext xmlns:c16="http://schemas.microsoft.com/office/drawing/2014/chart" uri="{C3380CC4-5D6E-409C-BE32-E72D297353CC}">
              <c16:uniqueId val="{00000008-DE24-4633-8DDA-DB24790F35E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[SLA_Forecasting_Dataset.xlsx]Pivot!PivotTable1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SLA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General</c:formatCode>
                <c:ptCount val="12"/>
                <c:pt idx="0">
                  <c:v>95.097499999999997</c:v>
                </c:pt>
                <c:pt idx="1">
                  <c:v>96.432500000000005</c:v>
                </c:pt>
                <c:pt idx="2">
                  <c:v>91.657499999999999</c:v>
                </c:pt>
                <c:pt idx="3">
                  <c:v>93.597499999999997</c:v>
                </c:pt>
                <c:pt idx="4">
                  <c:v>92.962500000000006</c:v>
                </c:pt>
                <c:pt idx="5">
                  <c:v>92.917500000000004</c:v>
                </c:pt>
                <c:pt idx="6">
                  <c:v>88.827500000000001</c:v>
                </c:pt>
                <c:pt idx="7">
                  <c:v>94.612499999999997</c:v>
                </c:pt>
                <c:pt idx="8">
                  <c:v>88.92</c:v>
                </c:pt>
                <c:pt idx="9">
                  <c:v>90.77000000000001</c:v>
                </c:pt>
                <c:pt idx="10">
                  <c:v>90.957499999999996</c:v>
                </c:pt>
                <c:pt idx="11">
                  <c:v>94.987499999999997</c:v>
                </c:pt>
              </c:numCache>
            </c:numRef>
          </c:val>
          <c:extLst>
            <c:ext xmlns:c16="http://schemas.microsoft.com/office/drawing/2014/chart" uri="{C3380CC4-5D6E-409C-BE32-E72D297353CC}">
              <c16:uniqueId val="{00000000-F9F7-4606-9D39-EB9647ACBCA7}"/>
            </c:ext>
          </c:extLst>
        </c:ser>
        <c:dLbls>
          <c:dLblPos val="outEnd"/>
          <c:showLegendKey val="0"/>
          <c:showVal val="1"/>
          <c:showCatName val="0"/>
          <c:showSerName val="0"/>
          <c:showPercent val="0"/>
          <c:showBubbleSize val="0"/>
        </c:dLbls>
        <c:gapWidth val="88"/>
        <c:overlap val="-24"/>
        <c:axId val="526347295"/>
        <c:axId val="526347775"/>
      </c:barChart>
      <c:catAx>
        <c:axId val="52634729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6347775"/>
        <c:crosses val="autoZero"/>
        <c:auto val="1"/>
        <c:lblAlgn val="ctr"/>
        <c:lblOffset val="100"/>
        <c:noMultiLvlLbl val="0"/>
      </c:catAx>
      <c:valAx>
        <c:axId val="5263477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6347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SLA Workload Forecast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Forecasting!$C$1</c:f>
              <c:strCache>
                <c:ptCount val="1"/>
                <c:pt idx="0">
                  <c:v>Tickets_Received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Forecasting!$B$2:$B$25</c:f>
              <c:strCache>
                <c:ptCount val="24"/>
                <c:pt idx="0">
                  <c:v>Jan</c:v>
                </c:pt>
                <c:pt idx="1">
                  <c:v>Feb</c:v>
                </c:pt>
                <c:pt idx="2">
                  <c:v>Mar</c:v>
                </c:pt>
                <c:pt idx="3">
                  <c:v>Apr</c:v>
                </c:pt>
                <c:pt idx="4">
                  <c:v>May</c:v>
                </c:pt>
                <c:pt idx="5">
                  <c:v>Jun</c:v>
                </c:pt>
                <c:pt idx="6">
                  <c:v>Jul</c:v>
                </c:pt>
                <c:pt idx="7">
                  <c:v>Aug</c:v>
                </c:pt>
                <c:pt idx="8">
                  <c:v>Sep</c:v>
                </c:pt>
                <c:pt idx="9">
                  <c:v>Oct</c:v>
                </c:pt>
                <c:pt idx="10">
                  <c:v>Nov</c:v>
                </c:pt>
                <c:pt idx="11">
                  <c:v>Dec</c:v>
                </c:pt>
                <c:pt idx="12">
                  <c:v>Next Jan</c:v>
                </c:pt>
                <c:pt idx="13">
                  <c:v>Next Feb</c:v>
                </c:pt>
                <c:pt idx="14">
                  <c:v>Next Mar</c:v>
                </c:pt>
                <c:pt idx="15">
                  <c:v>Next Apr</c:v>
                </c:pt>
                <c:pt idx="16">
                  <c:v>Next May</c:v>
                </c:pt>
                <c:pt idx="17">
                  <c:v>Next Jun</c:v>
                </c:pt>
                <c:pt idx="18">
                  <c:v>Next Jul</c:v>
                </c:pt>
                <c:pt idx="19">
                  <c:v>Next Aug</c:v>
                </c:pt>
                <c:pt idx="20">
                  <c:v>Next Sep</c:v>
                </c:pt>
                <c:pt idx="21">
                  <c:v>Next Oct</c:v>
                </c:pt>
                <c:pt idx="22">
                  <c:v>Next Nov</c:v>
                </c:pt>
                <c:pt idx="23">
                  <c:v>Next Dec</c:v>
                </c:pt>
              </c:strCache>
            </c:strRef>
          </c:cat>
          <c:val>
            <c:numRef>
              <c:f>Forecasting!$C$2:$C$25</c:f>
              <c:numCache>
                <c:formatCode>General</c:formatCode>
                <c:ptCount val="24"/>
                <c:pt idx="0">
                  <c:v>4003</c:v>
                </c:pt>
                <c:pt idx="1">
                  <c:v>4572</c:v>
                </c:pt>
                <c:pt idx="2">
                  <c:v>4421</c:v>
                </c:pt>
                <c:pt idx="3">
                  <c:v>4059</c:v>
                </c:pt>
                <c:pt idx="4">
                  <c:v>4248</c:v>
                </c:pt>
                <c:pt idx="5">
                  <c:v>5518</c:v>
                </c:pt>
                <c:pt idx="6">
                  <c:v>4280</c:v>
                </c:pt>
                <c:pt idx="7">
                  <c:v>4578</c:v>
                </c:pt>
                <c:pt idx="8">
                  <c:v>4775</c:v>
                </c:pt>
                <c:pt idx="9">
                  <c:v>4984</c:v>
                </c:pt>
                <c:pt idx="10">
                  <c:v>4134</c:v>
                </c:pt>
                <c:pt idx="11">
                  <c:v>4717</c:v>
                </c:pt>
              </c:numCache>
            </c:numRef>
          </c:val>
          <c:extLst>
            <c:ext xmlns:c16="http://schemas.microsoft.com/office/drawing/2014/chart" uri="{C3380CC4-5D6E-409C-BE32-E72D297353CC}">
              <c16:uniqueId val="{00000000-F2CE-4E84-A6BE-5128AFD93B3A}"/>
            </c:ext>
          </c:extLst>
        </c:ser>
        <c:ser>
          <c:idx val="1"/>
          <c:order val="1"/>
          <c:tx>
            <c:strRef>
              <c:f>Forecasting!$D$1</c:f>
              <c:strCache>
                <c:ptCount val="1"/>
                <c:pt idx="0">
                  <c:v>Forecast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Forecasting!$B$2:$B$25</c:f>
              <c:strCache>
                <c:ptCount val="24"/>
                <c:pt idx="0">
                  <c:v>Jan</c:v>
                </c:pt>
                <c:pt idx="1">
                  <c:v>Feb</c:v>
                </c:pt>
                <c:pt idx="2">
                  <c:v>Mar</c:v>
                </c:pt>
                <c:pt idx="3">
                  <c:v>Apr</c:v>
                </c:pt>
                <c:pt idx="4">
                  <c:v>May</c:v>
                </c:pt>
                <c:pt idx="5">
                  <c:v>Jun</c:v>
                </c:pt>
                <c:pt idx="6">
                  <c:v>Jul</c:v>
                </c:pt>
                <c:pt idx="7">
                  <c:v>Aug</c:v>
                </c:pt>
                <c:pt idx="8">
                  <c:v>Sep</c:v>
                </c:pt>
                <c:pt idx="9">
                  <c:v>Oct</c:v>
                </c:pt>
                <c:pt idx="10">
                  <c:v>Nov</c:v>
                </c:pt>
                <c:pt idx="11">
                  <c:v>Dec</c:v>
                </c:pt>
                <c:pt idx="12">
                  <c:v>Next Jan</c:v>
                </c:pt>
                <c:pt idx="13">
                  <c:v>Next Feb</c:v>
                </c:pt>
                <c:pt idx="14">
                  <c:v>Next Mar</c:v>
                </c:pt>
                <c:pt idx="15">
                  <c:v>Next Apr</c:v>
                </c:pt>
                <c:pt idx="16">
                  <c:v>Next May</c:v>
                </c:pt>
                <c:pt idx="17">
                  <c:v>Next Jun</c:v>
                </c:pt>
                <c:pt idx="18">
                  <c:v>Next Jul</c:v>
                </c:pt>
                <c:pt idx="19">
                  <c:v>Next Aug</c:v>
                </c:pt>
                <c:pt idx="20">
                  <c:v>Next Sep</c:v>
                </c:pt>
                <c:pt idx="21">
                  <c:v>Next Oct</c:v>
                </c:pt>
                <c:pt idx="22">
                  <c:v>Next Nov</c:v>
                </c:pt>
                <c:pt idx="23">
                  <c:v>Next Dec</c:v>
                </c:pt>
              </c:strCache>
            </c:strRef>
          </c:cat>
          <c:val>
            <c:numRef>
              <c:f>Forecasting!$D$2:$D$25</c:f>
              <c:numCache>
                <c:formatCode>General</c:formatCode>
                <c:ptCount val="24"/>
                <c:pt idx="12" formatCode="0.00">
                  <c:v>4778.287878787879</c:v>
                </c:pt>
                <c:pt idx="13" formatCode="0.00">
                  <c:v>4817.3962703962707</c:v>
                </c:pt>
                <c:pt idx="14" formatCode="0.00">
                  <c:v>4856.5046620046624</c:v>
                </c:pt>
                <c:pt idx="15" formatCode="0.00">
                  <c:v>4895.613053613054</c:v>
                </c:pt>
                <c:pt idx="16" formatCode="0.00">
                  <c:v>4934.7214452214448</c:v>
                </c:pt>
                <c:pt idx="17" formatCode="0.00">
                  <c:v>4973.8298368298365</c:v>
                </c:pt>
                <c:pt idx="18" formatCode="0.00">
                  <c:v>5012.9382284382282</c:v>
                </c:pt>
                <c:pt idx="19" formatCode="0.00">
                  <c:v>5052.0466200466199</c:v>
                </c:pt>
                <c:pt idx="20" formatCode="0.00">
                  <c:v>5091.1550116550115</c:v>
                </c:pt>
                <c:pt idx="21" formatCode="0.00">
                  <c:v>5130.2634032634032</c:v>
                </c:pt>
                <c:pt idx="22" formatCode="0.00">
                  <c:v>5169.3717948717949</c:v>
                </c:pt>
                <c:pt idx="23" formatCode="0.00">
                  <c:v>5208.4801864801866</c:v>
                </c:pt>
              </c:numCache>
            </c:numRef>
          </c:val>
          <c:extLst>
            <c:ext xmlns:c16="http://schemas.microsoft.com/office/drawing/2014/chart" uri="{C3380CC4-5D6E-409C-BE32-E72D297353CC}">
              <c16:uniqueId val="{00000001-F2CE-4E84-A6BE-5128AFD93B3A}"/>
            </c:ext>
          </c:extLst>
        </c:ser>
        <c:dLbls>
          <c:showLegendKey val="0"/>
          <c:showVal val="0"/>
          <c:showCatName val="0"/>
          <c:showSerName val="0"/>
          <c:showPercent val="0"/>
          <c:showBubbleSize val="0"/>
        </c:dLbls>
        <c:axId val="524579359"/>
        <c:axId val="524575999"/>
        <c:axId val="660598127"/>
      </c:area3DChart>
      <c:catAx>
        <c:axId val="524579359"/>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4575999"/>
        <c:crosses val="autoZero"/>
        <c:auto val="1"/>
        <c:lblAlgn val="ctr"/>
        <c:lblOffset val="100"/>
        <c:noMultiLvlLbl val="0"/>
      </c:catAx>
      <c:valAx>
        <c:axId val="5245759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4579359"/>
        <c:crosses val="autoZero"/>
        <c:crossBetween val="midCat"/>
      </c:valAx>
      <c:serAx>
        <c:axId val="660598127"/>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4575999"/>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220980</xdr:colOff>
      <xdr:row>0</xdr:row>
      <xdr:rowOff>60960</xdr:rowOff>
    </xdr:from>
    <xdr:to>
      <xdr:col>11</xdr:col>
      <xdr:colOff>419100</xdr:colOff>
      <xdr:row>17</xdr:row>
      <xdr:rowOff>91440</xdr:rowOff>
    </xdr:to>
    <xdr:graphicFrame macro="">
      <xdr:nvGraphicFramePr>
        <xdr:cNvPr id="2" name="Chart 1">
          <a:extLst>
            <a:ext uri="{FF2B5EF4-FFF2-40B4-BE49-F238E27FC236}">
              <a16:creationId xmlns:a16="http://schemas.microsoft.com/office/drawing/2014/main" id="{B2C8CFFE-62B0-4880-AD1A-B81747AF4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20</xdr:row>
      <xdr:rowOff>160020</xdr:rowOff>
    </xdr:from>
    <xdr:to>
      <xdr:col>10</xdr:col>
      <xdr:colOff>579120</xdr:colOff>
      <xdr:row>33</xdr:row>
      <xdr:rowOff>45720</xdr:rowOff>
    </xdr:to>
    <xdr:graphicFrame macro="">
      <xdr:nvGraphicFramePr>
        <xdr:cNvPr id="3" name="Chart 2">
          <a:extLst>
            <a:ext uri="{FF2B5EF4-FFF2-40B4-BE49-F238E27FC236}">
              <a16:creationId xmlns:a16="http://schemas.microsoft.com/office/drawing/2014/main" id="{E67744D5-5518-442B-997F-2A8D524AE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464820</xdr:colOff>
      <xdr:row>8</xdr:row>
      <xdr:rowOff>106680</xdr:rowOff>
    </xdr:from>
    <xdr:to>
      <xdr:col>19</xdr:col>
      <xdr:colOff>411480</xdr:colOff>
      <xdr:row>23</xdr:row>
      <xdr:rowOff>106680</xdr:rowOff>
    </xdr:to>
    <xdr:graphicFrame macro="">
      <xdr:nvGraphicFramePr>
        <xdr:cNvPr id="4" name="Chart 3">
          <a:extLst>
            <a:ext uri="{FF2B5EF4-FFF2-40B4-BE49-F238E27FC236}">
              <a16:creationId xmlns:a16="http://schemas.microsoft.com/office/drawing/2014/main" id="{0AE1D31C-1972-4C04-B362-D8DB2F0EE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3</xdr:col>
      <xdr:colOff>0</xdr:colOff>
      <xdr:row>20</xdr:row>
      <xdr:rowOff>15240</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CFEABE0E-CCE8-4496-B272-1831A8571E7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0"/>
              <a:ext cx="1828800" cy="3672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441960</xdr:colOff>
      <xdr:row>14</xdr:row>
      <xdr:rowOff>99060</xdr:rowOff>
    </xdr:from>
    <xdr:to>
      <xdr:col>16</xdr:col>
      <xdr:colOff>198120</xdr:colOff>
      <xdr:row>29</xdr:row>
      <xdr:rowOff>99060</xdr:rowOff>
    </xdr:to>
    <xdr:graphicFrame macro="">
      <xdr:nvGraphicFramePr>
        <xdr:cNvPr id="4" name="Chart 3">
          <a:extLst>
            <a:ext uri="{FF2B5EF4-FFF2-40B4-BE49-F238E27FC236}">
              <a16:creationId xmlns:a16="http://schemas.microsoft.com/office/drawing/2014/main" id="{F07FEC07-AF93-4001-BF42-8CC5266D4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esh Jangid" refreshedDate="46129.724906828706" createdVersion="8" refreshedVersion="8" minRefreshableVersion="3" recordCount="48" xr:uid="{14249229-334A-4AC5-B7A8-96F050DACA3A}">
  <cacheSource type="worksheet">
    <worksheetSource name="Table1"/>
  </cacheSource>
  <cacheFields count="8">
    <cacheField name="Month" numFmtId="0">
      <sharedItems count="12">
        <s v="Jan"/>
        <s v="Feb"/>
        <s v="Mar"/>
        <s v="Apr"/>
        <s v="May"/>
        <s v="Jun"/>
        <s v="Jul"/>
        <s v="Aug"/>
        <s v="Sep"/>
        <s v="Oct"/>
        <s v="Nov"/>
        <s v="Dec"/>
      </sharedItems>
    </cacheField>
    <cacheField name="Process" numFmtId="0">
      <sharedItems count="4">
        <s v="Support"/>
        <s v="Sales"/>
        <s v="Operations"/>
        <s v="Finance"/>
      </sharedItems>
    </cacheField>
    <cacheField name="Tickets_Received" numFmtId="0">
      <sharedItems containsSemiMixedTypes="0" containsString="0" containsNumber="1" containsInteger="1" minValue="801" maxValue="1499"/>
    </cacheField>
    <cacheField name="Tickets_Resolved" numFmtId="0">
      <sharedItems containsSemiMixedTypes="0" containsString="0" containsNumber="1" containsInteger="1" minValue="626" maxValue="1346"/>
    </cacheField>
    <cacheField name="SLA_Target" numFmtId="0">
      <sharedItems containsSemiMixedTypes="0" containsString="0" containsNumber="1" containsInteger="1" minValue="95" maxValue="95"/>
    </cacheField>
    <cacheField name="SLA_Achieved" numFmtId="0">
      <sharedItems containsSemiMixedTypes="0" containsString="0" containsNumber="1" minValue="85.38" maxValue="99.81"/>
    </cacheField>
    <cacheField name="Backlog" numFmtId="0">
      <sharedItems containsSemiMixedTypes="0" containsString="0" containsNumber="1" containsInteger="1" minValue="15" maxValue="358"/>
    </cacheField>
    <cacheField name="SLA Achievement" numFmtId="9">
      <sharedItems containsSemiMixedTypes="0" containsString="0" containsNumber="1" minValue="0.89873684210526306" maxValue="1.0506315789473684"/>
    </cacheField>
  </cacheFields>
  <extLst>
    <ext xmlns:x14="http://schemas.microsoft.com/office/spreadsheetml/2009/9/main" uri="{725AE2AE-9491-48be-B2B4-4EB974FC3084}">
      <x14:pivotCacheDefinition pivotCacheId="20765465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801"/>
    <n v="626"/>
    <n v="95"/>
    <n v="96.34"/>
    <n v="175"/>
    <n v="1.0141052631578948"/>
  </r>
  <r>
    <x v="0"/>
    <x v="1"/>
    <n v="1456"/>
    <n v="1098"/>
    <n v="95"/>
    <n v="93.42"/>
    <n v="358"/>
    <n v="0.98336842105263156"/>
  </r>
  <r>
    <x v="0"/>
    <x v="2"/>
    <n v="902"/>
    <n v="883"/>
    <n v="95"/>
    <n v="99.81"/>
    <n v="19"/>
    <n v="1.0506315789473684"/>
  </r>
  <r>
    <x v="0"/>
    <x v="3"/>
    <n v="844"/>
    <n v="702"/>
    <n v="95"/>
    <n v="90.82"/>
    <n v="142"/>
    <n v="0.95599999999999996"/>
  </r>
  <r>
    <x v="1"/>
    <x v="0"/>
    <n v="950"/>
    <n v="929"/>
    <n v="95"/>
    <n v="99.53"/>
    <n v="21"/>
    <n v="1.0476842105263158"/>
  </r>
  <r>
    <x v="1"/>
    <x v="1"/>
    <n v="1484"/>
    <n v="1346"/>
    <n v="95"/>
    <n v="89.13"/>
    <n v="138"/>
    <n v="0.93821052631578938"/>
  </r>
  <r>
    <x v="1"/>
    <x v="2"/>
    <n v="1021"/>
    <n v="850"/>
    <n v="95"/>
    <n v="98.89"/>
    <n v="171"/>
    <n v="1.0409473684210526"/>
  </r>
  <r>
    <x v="1"/>
    <x v="3"/>
    <n v="1117"/>
    <n v="1011"/>
    <n v="95"/>
    <n v="98.18"/>
    <n v="106"/>
    <n v="1.0334736842105263"/>
  </r>
  <r>
    <x v="2"/>
    <x v="0"/>
    <n v="999"/>
    <n v="885"/>
    <n v="95"/>
    <n v="97.75"/>
    <n v="114"/>
    <n v="1.0289473684210526"/>
  </r>
  <r>
    <x v="2"/>
    <x v="1"/>
    <n v="1119"/>
    <n v="895"/>
    <n v="95"/>
    <n v="92.48"/>
    <n v="224"/>
    <n v="0.97347368421052638"/>
  </r>
  <r>
    <x v="2"/>
    <x v="2"/>
    <n v="1363"/>
    <n v="1247"/>
    <n v="95"/>
    <n v="91.02"/>
    <n v="116"/>
    <n v="0.95810526315789468"/>
  </r>
  <r>
    <x v="2"/>
    <x v="3"/>
    <n v="940"/>
    <n v="824"/>
    <n v="95"/>
    <n v="85.38"/>
    <n v="116"/>
    <n v="0.89873684210526306"/>
  </r>
  <r>
    <x v="3"/>
    <x v="0"/>
    <n v="946"/>
    <n v="739"/>
    <n v="95"/>
    <n v="94.4"/>
    <n v="207"/>
    <n v="0.99368421052631584"/>
  </r>
  <r>
    <x v="3"/>
    <x v="1"/>
    <n v="821"/>
    <n v="737"/>
    <n v="95"/>
    <n v="93.52"/>
    <n v="84"/>
    <n v="0.98442105263157886"/>
  </r>
  <r>
    <x v="3"/>
    <x v="2"/>
    <n v="963"/>
    <n v="734"/>
    <n v="95"/>
    <n v="97.81"/>
    <n v="229"/>
    <n v="1.0295789473684211"/>
  </r>
  <r>
    <x v="3"/>
    <x v="3"/>
    <n v="1329"/>
    <n v="1109"/>
    <n v="95"/>
    <n v="88.66"/>
    <n v="220"/>
    <n v="0.93326315789473679"/>
  </r>
  <r>
    <x v="4"/>
    <x v="0"/>
    <n v="1250"/>
    <n v="999"/>
    <n v="95"/>
    <n v="86.84"/>
    <n v="251"/>
    <n v="0.91410526315789475"/>
  </r>
  <r>
    <x v="4"/>
    <x v="1"/>
    <n v="875"/>
    <n v="853"/>
    <n v="95"/>
    <n v="96.67"/>
    <n v="22"/>
    <n v="1.0175789473684211"/>
  </r>
  <r>
    <x v="4"/>
    <x v="2"/>
    <n v="840"/>
    <n v="808"/>
    <n v="95"/>
    <n v="98.94"/>
    <n v="32"/>
    <n v="1.0414736842105263"/>
  </r>
  <r>
    <x v="4"/>
    <x v="3"/>
    <n v="1283"/>
    <n v="1200"/>
    <n v="95"/>
    <n v="89.4"/>
    <n v="83"/>
    <n v="0.94105263157894747"/>
  </r>
  <r>
    <x v="5"/>
    <x v="0"/>
    <n v="1467"/>
    <n v="1277"/>
    <n v="95"/>
    <n v="87.37"/>
    <n v="190"/>
    <n v="0.91968421052631588"/>
  </r>
  <r>
    <x v="5"/>
    <x v="1"/>
    <n v="1117"/>
    <n v="941"/>
    <n v="95"/>
    <n v="87.43"/>
    <n v="176"/>
    <n v="0.92031578947368431"/>
  </r>
  <r>
    <x v="5"/>
    <x v="2"/>
    <n v="1491"/>
    <n v="1281"/>
    <n v="95"/>
    <n v="97.42"/>
    <n v="210"/>
    <n v="1.0254736842105263"/>
  </r>
  <r>
    <x v="5"/>
    <x v="3"/>
    <n v="1443"/>
    <n v="1128"/>
    <n v="95"/>
    <n v="99.45"/>
    <n v="315"/>
    <n v="1.046842105263158"/>
  </r>
  <r>
    <x v="6"/>
    <x v="0"/>
    <n v="1315"/>
    <n v="1235"/>
    <n v="95"/>
    <n v="88.59"/>
    <n v="80"/>
    <n v="0.93252631578947376"/>
  </r>
  <r>
    <x v="6"/>
    <x v="1"/>
    <n v="809"/>
    <n v="794"/>
    <n v="95"/>
    <n v="90.61"/>
    <n v="15"/>
    <n v="0.95378947368421052"/>
  </r>
  <r>
    <x v="6"/>
    <x v="2"/>
    <n v="1239"/>
    <n v="1167"/>
    <n v="95"/>
    <n v="90.28"/>
    <n v="72"/>
    <n v="0.95031578947368422"/>
  </r>
  <r>
    <x v="6"/>
    <x v="3"/>
    <n v="917"/>
    <n v="746"/>
    <n v="95"/>
    <n v="85.83"/>
    <n v="171"/>
    <n v="0.90347368421052632"/>
  </r>
  <r>
    <x v="7"/>
    <x v="0"/>
    <n v="1071"/>
    <n v="1026"/>
    <n v="95"/>
    <n v="95.69"/>
    <n v="45"/>
    <n v="1.0072631578947369"/>
  </r>
  <r>
    <x v="7"/>
    <x v="1"/>
    <n v="1344"/>
    <n v="1087"/>
    <n v="95"/>
    <n v="98.44"/>
    <n v="257"/>
    <n v="1.0362105263157895"/>
  </r>
  <r>
    <x v="7"/>
    <x v="2"/>
    <n v="975"/>
    <n v="770"/>
    <n v="95"/>
    <n v="86.31"/>
    <n v="205"/>
    <n v="0.90852631578947374"/>
  </r>
  <r>
    <x v="7"/>
    <x v="3"/>
    <n v="1188"/>
    <n v="944"/>
    <n v="95"/>
    <n v="98.01"/>
    <n v="244"/>
    <n v="1.0316842105263158"/>
  </r>
  <r>
    <x v="8"/>
    <x v="0"/>
    <n v="1108"/>
    <n v="1014"/>
    <n v="95"/>
    <n v="92.81"/>
    <n v="94"/>
    <n v="0.97694736842105268"/>
  </r>
  <r>
    <x v="8"/>
    <x v="1"/>
    <n v="847"/>
    <n v="790"/>
    <n v="95"/>
    <n v="88.59"/>
    <n v="57"/>
    <n v="0.93252631578947376"/>
  </r>
  <r>
    <x v="8"/>
    <x v="2"/>
    <n v="1458"/>
    <n v="1279"/>
    <n v="95"/>
    <n v="85.76"/>
    <n v="179"/>
    <n v="0.90273684210526317"/>
  </r>
  <r>
    <x v="8"/>
    <x v="3"/>
    <n v="1362"/>
    <n v="1200"/>
    <n v="95"/>
    <n v="88.52"/>
    <n v="162"/>
    <n v="0.9317894736842105"/>
  </r>
  <r>
    <x v="9"/>
    <x v="0"/>
    <n v="976"/>
    <n v="960"/>
    <n v="95"/>
    <n v="89.97"/>
    <n v="16"/>
    <n v="0.94705263157894737"/>
  </r>
  <r>
    <x v="9"/>
    <x v="1"/>
    <n v="1120"/>
    <n v="895"/>
    <n v="95"/>
    <n v="95.98"/>
    <n v="225"/>
    <n v="1.0103157894736843"/>
  </r>
  <r>
    <x v="9"/>
    <x v="2"/>
    <n v="1499"/>
    <n v="1316"/>
    <n v="95"/>
    <n v="91.41"/>
    <n v="183"/>
    <n v="0.96221052631578941"/>
  </r>
  <r>
    <x v="9"/>
    <x v="3"/>
    <n v="1389"/>
    <n v="1201"/>
    <n v="95"/>
    <n v="85.72"/>
    <n v="188"/>
    <n v="0.90231578947368418"/>
  </r>
  <r>
    <x v="10"/>
    <x v="0"/>
    <n v="1238"/>
    <n v="1155"/>
    <n v="95"/>
    <n v="88.33"/>
    <n v="83"/>
    <n v="0.9297894736842105"/>
  </r>
  <r>
    <x v="10"/>
    <x v="1"/>
    <n v="858"/>
    <n v="699"/>
    <n v="95"/>
    <n v="90.5"/>
    <n v="159"/>
    <n v="0.95263157894736838"/>
  </r>
  <r>
    <x v="10"/>
    <x v="2"/>
    <n v="842"/>
    <n v="639"/>
    <n v="95"/>
    <n v="91.88"/>
    <n v="203"/>
    <n v="0.96715789473684211"/>
  </r>
  <r>
    <x v="10"/>
    <x v="3"/>
    <n v="1196"/>
    <n v="1036"/>
    <n v="95"/>
    <n v="93.12"/>
    <n v="160"/>
    <n v="0.98021052631578953"/>
  </r>
  <r>
    <x v="11"/>
    <x v="0"/>
    <n v="1356"/>
    <n v="1199"/>
    <n v="95"/>
    <n v="92.02"/>
    <n v="157"/>
    <n v="0.9686315789473684"/>
  </r>
  <r>
    <x v="11"/>
    <x v="1"/>
    <n v="1101"/>
    <n v="877"/>
    <n v="95"/>
    <n v="98.99"/>
    <n v="224"/>
    <n v="1.042"/>
  </r>
  <r>
    <x v="11"/>
    <x v="2"/>
    <n v="819"/>
    <n v="640"/>
    <n v="95"/>
    <n v="94.2"/>
    <n v="179"/>
    <n v="0.99157894736842112"/>
  </r>
  <r>
    <x v="11"/>
    <x v="3"/>
    <n v="1441"/>
    <n v="1121"/>
    <n v="95"/>
    <n v="94.74"/>
    <n v="320"/>
    <n v="0.997263157894736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D95378-DEB8-4D29-9777-D4D8BA068D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H16" firstHeaderRow="0" firstDataRow="1" firstDataCol="1"/>
  <pivotFields count="8">
    <pivotField axis="axisRow" showAll="0">
      <items count="13">
        <item x="0"/>
        <item x="1"/>
        <item x="2"/>
        <item x="3"/>
        <item x="4"/>
        <item x="5"/>
        <item x="6"/>
        <item x="7"/>
        <item x="8"/>
        <item x="9"/>
        <item x="10"/>
        <item x="11"/>
        <item t="default"/>
      </items>
    </pivotField>
    <pivotField showAll="0">
      <items count="5">
        <item x="3"/>
        <item x="2"/>
        <item x="1"/>
        <item x="0"/>
        <item t="default"/>
      </items>
    </pivotField>
    <pivotField dataField="1" showAll="0"/>
    <pivotField dataField="1" showAll="0"/>
    <pivotField showAll="0"/>
    <pivotField showAll="0"/>
    <pivotField showAll="0"/>
    <pivotField numFmtId="9"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Tickets Received" fld="2" baseField="0" baseItem="0"/>
    <dataField name="Tickets Resolved" fld="3" baseField="0" baseItem="0"/>
  </dataFields>
  <formats count="13">
    <format dxfId="135">
      <pivotArea grandRow="1" outline="0" collapsedLevelsAreSubtotals="1" fieldPosition="0"/>
    </format>
    <format dxfId="134">
      <pivotArea type="all" dataOnly="0" outline="0" fieldPosition="0"/>
    </format>
    <format dxfId="133">
      <pivotArea field="0" type="button" dataOnly="0" labelOnly="1" outline="0" axis="axisRow" fieldPosition="0"/>
    </format>
    <format dxfId="132">
      <pivotArea dataOnly="0" labelOnly="1" fieldPosition="0">
        <references count="1">
          <reference field="0" count="0"/>
        </references>
      </pivotArea>
    </format>
    <format dxfId="131">
      <pivotArea dataOnly="0" labelOnly="1" grandRow="1" outline="0" fieldPosition="0"/>
    </format>
    <format dxfId="130">
      <pivotArea dataOnly="0" labelOnly="1" outline="0" fieldPosition="0">
        <references count="1">
          <reference field="4294967294" count="2">
            <x v="0"/>
            <x v="1"/>
          </reference>
        </references>
      </pivotArea>
    </format>
    <format dxfId="129">
      <pivotArea outline="0" collapsedLevelsAreSubtotals="1" fieldPosition="0"/>
    </format>
    <format dxfId="128">
      <pivotArea type="all" dataOnly="0" outline="0" fieldPosition="0"/>
    </format>
    <format dxfId="127">
      <pivotArea outline="0" collapsedLevelsAreSubtotals="1" fieldPosition="0"/>
    </format>
    <format dxfId="126">
      <pivotArea field="0" type="button" dataOnly="0" labelOnly="1" outline="0" axis="axisRow" fieldPosition="0"/>
    </format>
    <format dxfId="125">
      <pivotArea dataOnly="0" labelOnly="1" fieldPosition="0">
        <references count="1">
          <reference field="0" count="0"/>
        </references>
      </pivotArea>
    </format>
    <format dxfId="124">
      <pivotArea dataOnly="0" labelOnly="1" grandRow="1" outline="0" fieldPosition="0"/>
    </format>
    <format dxfId="12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33AA0D-D5F7-47BA-BD70-469BF08BF7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28" firstHeaderRow="1" firstDataRow="1" firstDataCol="1"/>
  <pivotFields count="8">
    <pivotField showAll="0">
      <items count="13">
        <item x="0"/>
        <item x="1"/>
        <item x="2"/>
        <item x="3"/>
        <item x="4"/>
        <item x="5"/>
        <item x="6"/>
        <item x="7"/>
        <item x="8"/>
        <item x="9"/>
        <item x="10"/>
        <item x="11"/>
        <item t="default"/>
      </items>
    </pivotField>
    <pivotField axis="axisRow" showAll="0">
      <items count="5">
        <item x="3"/>
        <item x="2"/>
        <item x="1"/>
        <item x="0"/>
        <item t="default"/>
      </items>
    </pivotField>
    <pivotField showAll="0"/>
    <pivotField showAll="0"/>
    <pivotField showAll="0"/>
    <pivotField dataField="1" showAll="0"/>
    <pivotField showAll="0"/>
    <pivotField numFmtId="9" showAll="0"/>
  </pivotFields>
  <rowFields count="1">
    <field x="1"/>
  </rowFields>
  <rowItems count="5">
    <i>
      <x/>
    </i>
    <i>
      <x v="1"/>
    </i>
    <i>
      <x v="2"/>
    </i>
    <i>
      <x v="3"/>
    </i>
    <i t="grand">
      <x/>
    </i>
  </rowItems>
  <colItems count="1">
    <i/>
  </colItems>
  <dataFields count="1">
    <dataField name="Avg SLA_Achieved" fld="5" subtotal="average" baseField="0" baseItem="0"/>
  </dataFields>
  <formats count="8">
    <format dxfId="143">
      <pivotArea grandRow="1" outline="0" collapsedLevelsAreSubtotals="1" fieldPosition="0"/>
    </format>
    <format dxfId="142">
      <pivotArea collapsedLevelsAreSubtotals="1" fieldPosition="0">
        <references count="1">
          <reference field="1" count="2">
            <x v="0"/>
            <x v="1"/>
          </reference>
        </references>
      </pivotArea>
    </format>
    <format dxfId="141">
      <pivotArea type="all" dataOnly="0" outline="0" fieldPosition="0"/>
    </format>
    <format dxfId="140">
      <pivotArea outline="0" collapsedLevelsAreSubtotals="1" fieldPosition="0"/>
    </format>
    <format dxfId="139">
      <pivotArea field="1" type="button" dataOnly="0" labelOnly="1" outline="0" axis="axisRow" fieldPosition="0"/>
    </format>
    <format dxfId="138">
      <pivotArea dataOnly="0" labelOnly="1" fieldPosition="0">
        <references count="1">
          <reference field="1" count="0"/>
        </references>
      </pivotArea>
    </format>
    <format dxfId="137">
      <pivotArea dataOnly="0" labelOnly="1" grandRow="1" outline="0" fieldPosition="0"/>
    </format>
    <format dxfId="13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4BF0BD-CE9D-4B5E-997A-C35A0401B1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8">
    <pivotField axis="axisRow" showAll="0">
      <items count="13">
        <item x="0"/>
        <item x="1"/>
        <item x="2"/>
        <item x="3"/>
        <item x="4"/>
        <item x="5"/>
        <item x="6"/>
        <item x="7"/>
        <item x="8"/>
        <item x="9"/>
        <item x="10"/>
        <item x="11"/>
        <item t="default"/>
      </items>
    </pivotField>
    <pivotField showAll="0"/>
    <pivotField showAll="0"/>
    <pivotField showAll="0"/>
    <pivotField showAll="0"/>
    <pivotField dataField="1" showAll="0"/>
    <pivotField showAll="0"/>
    <pivotField numFmtId="9" showAll="0"/>
  </pivotFields>
  <rowFields count="1">
    <field x="0"/>
  </rowFields>
  <rowItems count="13">
    <i>
      <x/>
    </i>
    <i>
      <x v="1"/>
    </i>
    <i>
      <x v="2"/>
    </i>
    <i>
      <x v="3"/>
    </i>
    <i>
      <x v="4"/>
    </i>
    <i>
      <x v="5"/>
    </i>
    <i>
      <x v="6"/>
    </i>
    <i>
      <x v="7"/>
    </i>
    <i>
      <x v="8"/>
    </i>
    <i>
      <x v="9"/>
    </i>
    <i>
      <x v="10"/>
    </i>
    <i>
      <x v="11"/>
    </i>
    <i t="grand">
      <x/>
    </i>
  </rowItems>
  <colItems count="1">
    <i/>
  </colItems>
  <dataFields count="1">
    <dataField name="Avg SLA_Achieved" fld="5" subtotal="average" baseField="0" baseItem="0"/>
  </dataFields>
  <formats count="13">
    <format dxfId="156">
      <pivotArea grandRow="1" outline="0" collapsedLevelsAreSubtotals="1" fieldPosition="0"/>
    </format>
    <format dxfId="155">
      <pivotArea type="all" dataOnly="0" outline="0" fieldPosition="0"/>
    </format>
    <format dxfId="154">
      <pivotArea outline="0" collapsedLevelsAreSubtotals="1" fieldPosition="0"/>
    </format>
    <format dxfId="153">
      <pivotArea field="0" type="button" dataOnly="0" labelOnly="1" outline="0" axis="axisRow" fieldPosition="0"/>
    </format>
    <format dxfId="152">
      <pivotArea dataOnly="0" labelOnly="1" fieldPosition="0">
        <references count="1">
          <reference field="0" count="0"/>
        </references>
      </pivotArea>
    </format>
    <format dxfId="151">
      <pivotArea dataOnly="0" labelOnly="1" grandRow="1"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field="0" type="button" dataOnly="0" labelOnly="1" outline="0" axis="axisRow" fieldPosition="0"/>
    </format>
    <format dxfId="146">
      <pivotArea dataOnly="0" labelOnly="1" fieldPosition="0">
        <references count="1">
          <reference field="0" count="0"/>
        </references>
      </pivotArea>
    </format>
    <format dxfId="145">
      <pivotArea dataOnly="0" labelOnly="1" grandRow="1" outline="0" fieldPosition="0"/>
    </format>
    <format dxfId="14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99015F2-6093-4575-8886-7FA3DF5B5414}" sourceName="Month">
  <pivotTables>
    <pivotTable tabId="2" name="PivotTable1"/>
    <pivotTable tabId="2" name="PivotTable3"/>
    <pivotTable tabId="2" name="PivotTable4"/>
  </pivotTables>
  <data>
    <tabular pivotCacheId="207654658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29C5629-4659-41D9-A566-E21AF7D2B146}"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1818D4-C805-4211-A336-1D01D5545762}" name="Table1" displayName="Table1" ref="A1:H49" totalsRowShown="0" headerRowDxfId="166" dataDxfId="165">
  <autoFilter ref="A1:H49" xr:uid="{D91818D4-C805-4211-A336-1D01D5545762}"/>
  <tableColumns count="8">
    <tableColumn id="1" xr3:uid="{BC3B2733-B01B-4329-A0F8-E8139EBFE7ED}" name="Month" dataDxfId="164"/>
    <tableColumn id="2" xr3:uid="{5A1997D2-B91C-4258-89FB-C4DC60B60F3F}" name="Process" dataDxfId="163"/>
    <tableColumn id="3" xr3:uid="{4D6A779A-6A85-4A83-AA81-36E010241971}" name="Tickets_Received" dataDxfId="162"/>
    <tableColumn id="4" xr3:uid="{019B0CAC-6124-4C35-AE87-D0EFBF75D55D}" name="Tickets_Resolved" dataDxfId="161"/>
    <tableColumn id="5" xr3:uid="{48023FE0-DC69-42E5-803E-7F69F25236B4}" name="SLA_Target" dataDxfId="160"/>
    <tableColumn id="6" xr3:uid="{F65D543E-23A1-490B-AFE3-925E6B2EBD5F}" name="SLA_Achieved" dataDxfId="159"/>
    <tableColumn id="7" xr3:uid="{6B606CB3-807B-4E46-AA31-D77C0759B927}" name="Backlog" dataDxfId="158">
      <calculatedColumnFormula>Table1[[#This Row],[Tickets_Received]]-Table1[[#This Row],[Tickets_Resolved]]</calculatedColumnFormula>
    </tableColumn>
    <tableColumn id="8" xr3:uid="{080058E2-9165-4F69-A010-935B2EBCFF57}" name="SLA Achievement" dataDxfId="157" dataCellStyle="Percent">
      <calculatedColumnFormula>Table1[[#This Row],[SLA_Achieved]]/Table1[[#This Row],[SLA_Target]]</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5D6D73-1C01-4F9B-A9FC-D226ED501F20}" name="Table2" displayName="Table2" ref="A1:D25" totalsRowShown="0" headerRowDxfId="0" headerRowBorderDxfId="6" tableBorderDxfId="7" totalsRowBorderDxfId="5">
  <autoFilter ref="A1:D25" xr:uid="{595D6D73-1C01-4F9B-A9FC-D226ED501F20}"/>
  <tableColumns count="4">
    <tableColumn id="1" xr3:uid="{649B7558-880D-4DA2-9108-BD18D282408E}" name="Month No" dataDxfId="4"/>
    <tableColumn id="2" xr3:uid="{8EE4561D-308A-4297-AF30-9449632F0F5C}" name="Month" dataDxfId="3"/>
    <tableColumn id="3" xr3:uid="{F2CF5E74-4D53-40C4-ACCA-B93246B17CA0}" name="Tickets_Received" dataDxfId="2"/>
    <tableColumn id="4" xr3:uid="{B9931A4D-764B-4C04-AF08-C49CD247D502}" name="Forecast" dataDxfId="1">
      <calculatedColumnFormula>_xlfn.FORECAST.LINEAR(A2,Forecasting!$C$2:$C$13,Forecasting!$A$2:$A$13)</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workbookViewId="0">
      <selection activeCell="M17" sqref="M17:O29"/>
    </sheetView>
  </sheetViews>
  <sheetFormatPr defaultRowHeight="14.4" x14ac:dyDescent="0.3"/>
  <cols>
    <col min="1" max="1" width="11.21875" bestFit="1" customWidth="1"/>
    <col min="2" max="2" width="11.77734375" bestFit="1" customWidth="1"/>
    <col min="3" max="4" width="19.88671875" bestFit="1" customWidth="1"/>
    <col min="5" max="5" width="14.88671875" bestFit="1" customWidth="1"/>
    <col min="6" max="6" width="17.33203125" bestFit="1" customWidth="1"/>
    <col min="7" max="7" width="12" bestFit="1" customWidth="1"/>
    <col min="8" max="8" width="20.21875" bestFit="1" customWidth="1"/>
    <col min="13" max="13" width="9.33203125" bestFit="1" customWidth="1"/>
    <col min="14" max="14" width="8.88671875" bestFit="1" customWidth="1"/>
    <col min="15" max="15" width="15.109375" bestFit="1" customWidth="1"/>
  </cols>
  <sheetData>
    <row r="1" spans="1:8" x14ac:dyDescent="0.3">
      <c r="A1" s="1" t="s">
        <v>0</v>
      </c>
      <c r="B1" s="1" t="s">
        <v>1</v>
      </c>
      <c r="C1" s="1" t="s">
        <v>2</v>
      </c>
      <c r="D1" s="1" t="s">
        <v>3</v>
      </c>
      <c r="E1" s="1" t="s">
        <v>4</v>
      </c>
      <c r="F1" s="1" t="s">
        <v>5</v>
      </c>
      <c r="G1" s="1" t="s">
        <v>22</v>
      </c>
      <c r="H1" s="1" t="s">
        <v>23</v>
      </c>
    </row>
    <row r="2" spans="1:8" x14ac:dyDescent="0.3">
      <c r="A2" s="1" t="s">
        <v>6</v>
      </c>
      <c r="B2" s="1" t="s">
        <v>7</v>
      </c>
      <c r="C2" s="1">
        <v>801</v>
      </c>
      <c r="D2" s="1">
        <v>626</v>
      </c>
      <c r="E2" s="1">
        <v>95</v>
      </c>
      <c r="F2" s="1">
        <v>96.34</v>
      </c>
      <c r="G2" s="1">
        <f>Table1[[#This Row],[Tickets_Received]]-Table1[[#This Row],[Tickets_Resolved]]</f>
        <v>175</v>
      </c>
      <c r="H2" s="2">
        <f>Table1[[#This Row],[SLA_Achieved]]/Table1[[#This Row],[SLA_Target]]</f>
        <v>1.0141052631578948</v>
      </c>
    </row>
    <row r="3" spans="1:8" x14ac:dyDescent="0.3">
      <c r="A3" s="1" t="s">
        <v>6</v>
      </c>
      <c r="B3" s="1" t="s">
        <v>8</v>
      </c>
      <c r="C3" s="1">
        <v>1456</v>
      </c>
      <c r="D3" s="1">
        <v>1098</v>
      </c>
      <c r="E3" s="1">
        <v>95</v>
      </c>
      <c r="F3" s="1">
        <v>93.42</v>
      </c>
      <c r="G3" s="1">
        <f>Table1[[#This Row],[Tickets_Received]]-Table1[[#This Row],[Tickets_Resolved]]</f>
        <v>358</v>
      </c>
      <c r="H3" s="2">
        <f>Table1[[#This Row],[SLA_Achieved]]/Table1[[#This Row],[SLA_Target]]</f>
        <v>0.98336842105263156</v>
      </c>
    </row>
    <row r="4" spans="1:8" x14ac:dyDescent="0.3">
      <c r="A4" s="1" t="s">
        <v>6</v>
      </c>
      <c r="B4" s="1" t="s">
        <v>9</v>
      </c>
      <c r="C4" s="1">
        <v>902</v>
      </c>
      <c r="D4" s="1">
        <v>883</v>
      </c>
      <c r="E4" s="1">
        <v>95</v>
      </c>
      <c r="F4" s="1">
        <v>99.81</v>
      </c>
      <c r="G4" s="1">
        <f>Table1[[#This Row],[Tickets_Received]]-Table1[[#This Row],[Tickets_Resolved]]</f>
        <v>19</v>
      </c>
      <c r="H4" s="2">
        <f>Table1[[#This Row],[SLA_Achieved]]/Table1[[#This Row],[SLA_Target]]</f>
        <v>1.0506315789473684</v>
      </c>
    </row>
    <row r="5" spans="1:8" x14ac:dyDescent="0.3">
      <c r="A5" s="1" t="s">
        <v>6</v>
      </c>
      <c r="B5" s="1" t="s">
        <v>10</v>
      </c>
      <c r="C5" s="1">
        <v>844</v>
      </c>
      <c r="D5" s="1">
        <v>702</v>
      </c>
      <c r="E5" s="1">
        <v>95</v>
      </c>
      <c r="F5" s="1">
        <v>90.82</v>
      </c>
      <c r="G5" s="1">
        <f>Table1[[#This Row],[Tickets_Received]]-Table1[[#This Row],[Tickets_Resolved]]</f>
        <v>142</v>
      </c>
      <c r="H5" s="2">
        <f>Table1[[#This Row],[SLA_Achieved]]/Table1[[#This Row],[SLA_Target]]</f>
        <v>0.95599999999999996</v>
      </c>
    </row>
    <row r="6" spans="1:8" x14ac:dyDescent="0.3">
      <c r="A6" s="1" t="s">
        <v>11</v>
      </c>
      <c r="B6" s="1" t="s">
        <v>7</v>
      </c>
      <c r="C6" s="1">
        <v>950</v>
      </c>
      <c r="D6" s="1">
        <v>929</v>
      </c>
      <c r="E6" s="1">
        <v>95</v>
      </c>
      <c r="F6" s="1">
        <v>99.53</v>
      </c>
      <c r="G6" s="1">
        <f>Table1[[#This Row],[Tickets_Received]]-Table1[[#This Row],[Tickets_Resolved]]</f>
        <v>21</v>
      </c>
      <c r="H6" s="2">
        <f>Table1[[#This Row],[SLA_Achieved]]/Table1[[#This Row],[SLA_Target]]</f>
        <v>1.0476842105263158</v>
      </c>
    </row>
    <row r="7" spans="1:8" x14ac:dyDescent="0.3">
      <c r="A7" s="1" t="s">
        <v>11</v>
      </c>
      <c r="B7" s="1" t="s">
        <v>8</v>
      </c>
      <c r="C7" s="1">
        <v>1484</v>
      </c>
      <c r="D7" s="1">
        <v>1346</v>
      </c>
      <c r="E7" s="1">
        <v>95</v>
      </c>
      <c r="F7" s="1">
        <v>89.13</v>
      </c>
      <c r="G7" s="1">
        <f>Table1[[#This Row],[Tickets_Received]]-Table1[[#This Row],[Tickets_Resolved]]</f>
        <v>138</v>
      </c>
      <c r="H7" s="2">
        <f>Table1[[#This Row],[SLA_Achieved]]/Table1[[#This Row],[SLA_Target]]</f>
        <v>0.93821052631578938</v>
      </c>
    </row>
    <row r="8" spans="1:8" x14ac:dyDescent="0.3">
      <c r="A8" s="1" t="s">
        <v>11</v>
      </c>
      <c r="B8" s="1" t="s">
        <v>9</v>
      </c>
      <c r="C8" s="1">
        <v>1021</v>
      </c>
      <c r="D8" s="1">
        <v>850</v>
      </c>
      <c r="E8" s="1">
        <v>95</v>
      </c>
      <c r="F8" s="1">
        <v>98.89</v>
      </c>
      <c r="G8" s="1">
        <f>Table1[[#This Row],[Tickets_Received]]-Table1[[#This Row],[Tickets_Resolved]]</f>
        <v>171</v>
      </c>
      <c r="H8" s="2">
        <f>Table1[[#This Row],[SLA_Achieved]]/Table1[[#This Row],[SLA_Target]]</f>
        <v>1.0409473684210526</v>
      </c>
    </row>
    <row r="9" spans="1:8" x14ac:dyDescent="0.3">
      <c r="A9" s="1" t="s">
        <v>11</v>
      </c>
      <c r="B9" s="1" t="s">
        <v>10</v>
      </c>
      <c r="C9" s="1">
        <v>1117</v>
      </c>
      <c r="D9" s="1">
        <v>1011</v>
      </c>
      <c r="E9" s="1">
        <v>95</v>
      </c>
      <c r="F9" s="1">
        <v>98.18</v>
      </c>
      <c r="G9" s="1">
        <f>Table1[[#This Row],[Tickets_Received]]-Table1[[#This Row],[Tickets_Resolved]]</f>
        <v>106</v>
      </c>
      <c r="H9" s="2">
        <f>Table1[[#This Row],[SLA_Achieved]]/Table1[[#This Row],[SLA_Target]]</f>
        <v>1.0334736842105263</v>
      </c>
    </row>
    <row r="10" spans="1:8" x14ac:dyDescent="0.3">
      <c r="A10" s="1" t="s">
        <v>12</v>
      </c>
      <c r="B10" s="1" t="s">
        <v>7</v>
      </c>
      <c r="C10" s="1">
        <v>999</v>
      </c>
      <c r="D10" s="1">
        <v>885</v>
      </c>
      <c r="E10" s="1">
        <v>95</v>
      </c>
      <c r="F10" s="1">
        <v>97.75</v>
      </c>
      <c r="G10" s="1">
        <f>Table1[[#This Row],[Tickets_Received]]-Table1[[#This Row],[Tickets_Resolved]]</f>
        <v>114</v>
      </c>
      <c r="H10" s="2">
        <f>Table1[[#This Row],[SLA_Achieved]]/Table1[[#This Row],[SLA_Target]]</f>
        <v>1.0289473684210526</v>
      </c>
    </row>
    <row r="11" spans="1:8" x14ac:dyDescent="0.3">
      <c r="A11" s="1" t="s">
        <v>12</v>
      </c>
      <c r="B11" s="1" t="s">
        <v>8</v>
      </c>
      <c r="C11" s="1">
        <v>1119</v>
      </c>
      <c r="D11" s="1">
        <v>895</v>
      </c>
      <c r="E11" s="1">
        <v>95</v>
      </c>
      <c r="F11" s="1">
        <v>92.48</v>
      </c>
      <c r="G11" s="1">
        <f>Table1[[#This Row],[Tickets_Received]]-Table1[[#This Row],[Tickets_Resolved]]</f>
        <v>224</v>
      </c>
      <c r="H11" s="2">
        <f>Table1[[#This Row],[SLA_Achieved]]/Table1[[#This Row],[SLA_Target]]</f>
        <v>0.97347368421052638</v>
      </c>
    </row>
    <row r="12" spans="1:8" x14ac:dyDescent="0.3">
      <c r="A12" s="1" t="s">
        <v>12</v>
      </c>
      <c r="B12" s="1" t="s">
        <v>9</v>
      </c>
      <c r="C12" s="1">
        <v>1363</v>
      </c>
      <c r="D12" s="1">
        <v>1247</v>
      </c>
      <c r="E12" s="1">
        <v>95</v>
      </c>
      <c r="F12" s="1">
        <v>91.02</v>
      </c>
      <c r="G12" s="1">
        <f>Table1[[#This Row],[Tickets_Received]]-Table1[[#This Row],[Tickets_Resolved]]</f>
        <v>116</v>
      </c>
      <c r="H12" s="2">
        <f>Table1[[#This Row],[SLA_Achieved]]/Table1[[#This Row],[SLA_Target]]</f>
        <v>0.95810526315789468</v>
      </c>
    </row>
    <row r="13" spans="1:8" x14ac:dyDescent="0.3">
      <c r="A13" s="1" t="s">
        <v>12</v>
      </c>
      <c r="B13" s="1" t="s">
        <v>10</v>
      </c>
      <c r="C13" s="1">
        <v>940</v>
      </c>
      <c r="D13" s="1">
        <v>824</v>
      </c>
      <c r="E13" s="1">
        <v>95</v>
      </c>
      <c r="F13" s="1">
        <v>85.38</v>
      </c>
      <c r="G13" s="1">
        <f>Table1[[#This Row],[Tickets_Received]]-Table1[[#This Row],[Tickets_Resolved]]</f>
        <v>116</v>
      </c>
      <c r="H13" s="2">
        <f>Table1[[#This Row],[SLA_Achieved]]/Table1[[#This Row],[SLA_Target]]</f>
        <v>0.89873684210526306</v>
      </c>
    </row>
    <row r="14" spans="1:8" x14ac:dyDescent="0.3">
      <c r="A14" s="1" t="s">
        <v>13</v>
      </c>
      <c r="B14" s="1" t="s">
        <v>7</v>
      </c>
      <c r="C14" s="1">
        <v>946</v>
      </c>
      <c r="D14" s="1">
        <v>739</v>
      </c>
      <c r="E14" s="1">
        <v>95</v>
      </c>
      <c r="F14" s="1">
        <v>94.4</v>
      </c>
      <c r="G14" s="1">
        <f>Table1[[#This Row],[Tickets_Received]]-Table1[[#This Row],[Tickets_Resolved]]</f>
        <v>207</v>
      </c>
      <c r="H14" s="2">
        <f>Table1[[#This Row],[SLA_Achieved]]/Table1[[#This Row],[SLA_Target]]</f>
        <v>0.99368421052631584</v>
      </c>
    </row>
    <row r="15" spans="1:8" x14ac:dyDescent="0.3">
      <c r="A15" s="1" t="s">
        <v>13</v>
      </c>
      <c r="B15" s="1" t="s">
        <v>8</v>
      </c>
      <c r="C15" s="1">
        <v>821</v>
      </c>
      <c r="D15" s="1">
        <v>737</v>
      </c>
      <c r="E15" s="1">
        <v>95</v>
      </c>
      <c r="F15" s="1">
        <v>93.52</v>
      </c>
      <c r="G15" s="1">
        <f>Table1[[#This Row],[Tickets_Received]]-Table1[[#This Row],[Tickets_Resolved]]</f>
        <v>84</v>
      </c>
      <c r="H15" s="2">
        <f>Table1[[#This Row],[SLA_Achieved]]/Table1[[#This Row],[SLA_Target]]</f>
        <v>0.98442105263157886</v>
      </c>
    </row>
    <row r="16" spans="1:8" x14ac:dyDescent="0.3">
      <c r="A16" s="1" t="s">
        <v>13</v>
      </c>
      <c r="B16" s="1" t="s">
        <v>9</v>
      </c>
      <c r="C16" s="1">
        <v>963</v>
      </c>
      <c r="D16" s="1">
        <v>734</v>
      </c>
      <c r="E16" s="1">
        <v>95</v>
      </c>
      <c r="F16" s="1">
        <v>97.81</v>
      </c>
      <c r="G16" s="1">
        <f>Table1[[#This Row],[Tickets_Received]]-Table1[[#This Row],[Tickets_Resolved]]</f>
        <v>229</v>
      </c>
      <c r="H16" s="2">
        <f>Table1[[#This Row],[SLA_Achieved]]/Table1[[#This Row],[SLA_Target]]</f>
        <v>1.0295789473684211</v>
      </c>
    </row>
    <row r="17" spans="1:8" x14ac:dyDescent="0.3">
      <c r="A17" s="1" t="s">
        <v>13</v>
      </c>
      <c r="B17" s="1" t="s">
        <v>10</v>
      </c>
      <c r="C17" s="1">
        <v>1329</v>
      </c>
      <c r="D17" s="1">
        <v>1109</v>
      </c>
      <c r="E17" s="1">
        <v>95</v>
      </c>
      <c r="F17" s="1">
        <v>88.66</v>
      </c>
      <c r="G17" s="1">
        <f>Table1[[#This Row],[Tickets_Received]]-Table1[[#This Row],[Tickets_Resolved]]</f>
        <v>220</v>
      </c>
      <c r="H17" s="2">
        <f>Table1[[#This Row],[SLA_Achieved]]/Table1[[#This Row],[SLA_Target]]</f>
        <v>0.93326315789473679</v>
      </c>
    </row>
    <row r="18" spans="1:8" x14ac:dyDescent="0.3">
      <c r="A18" s="1" t="s">
        <v>14</v>
      </c>
      <c r="B18" s="1" t="s">
        <v>7</v>
      </c>
      <c r="C18" s="1">
        <v>1250</v>
      </c>
      <c r="D18" s="1">
        <v>999</v>
      </c>
      <c r="E18" s="1">
        <v>95</v>
      </c>
      <c r="F18" s="1">
        <v>86.84</v>
      </c>
      <c r="G18" s="1">
        <f>Table1[[#This Row],[Tickets_Received]]-Table1[[#This Row],[Tickets_Resolved]]</f>
        <v>251</v>
      </c>
      <c r="H18" s="2">
        <f>Table1[[#This Row],[SLA_Achieved]]/Table1[[#This Row],[SLA_Target]]</f>
        <v>0.91410526315789475</v>
      </c>
    </row>
    <row r="19" spans="1:8" x14ac:dyDescent="0.3">
      <c r="A19" s="1" t="s">
        <v>14</v>
      </c>
      <c r="B19" s="1" t="s">
        <v>8</v>
      </c>
      <c r="C19" s="1">
        <v>875</v>
      </c>
      <c r="D19" s="1">
        <v>853</v>
      </c>
      <c r="E19" s="1">
        <v>95</v>
      </c>
      <c r="F19" s="1">
        <v>96.67</v>
      </c>
      <c r="G19" s="1">
        <f>Table1[[#This Row],[Tickets_Received]]-Table1[[#This Row],[Tickets_Resolved]]</f>
        <v>22</v>
      </c>
      <c r="H19" s="2">
        <f>Table1[[#This Row],[SLA_Achieved]]/Table1[[#This Row],[SLA_Target]]</f>
        <v>1.0175789473684211</v>
      </c>
    </row>
    <row r="20" spans="1:8" x14ac:dyDescent="0.3">
      <c r="A20" s="1" t="s">
        <v>14</v>
      </c>
      <c r="B20" s="1" t="s">
        <v>9</v>
      </c>
      <c r="C20" s="1">
        <v>840</v>
      </c>
      <c r="D20" s="1">
        <v>808</v>
      </c>
      <c r="E20" s="1">
        <v>95</v>
      </c>
      <c r="F20" s="1">
        <v>98.94</v>
      </c>
      <c r="G20" s="1">
        <f>Table1[[#This Row],[Tickets_Received]]-Table1[[#This Row],[Tickets_Resolved]]</f>
        <v>32</v>
      </c>
      <c r="H20" s="2">
        <f>Table1[[#This Row],[SLA_Achieved]]/Table1[[#This Row],[SLA_Target]]</f>
        <v>1.0414736842105263</v>
      </c>
    </row>
    <row r="21" spans="1:8" x14ac:dyDescent="0.3">
      <c r="A21" s="1" t="s">
        <v>14</v>
      </c>
      <c r="B21" s="1" t="s">
        <v>10</v>
      </c>
      <c r="C21" s="1">
        <v>1283</v>
      </c>
      <c r="D21" s="1">
        <v>1200</v>
      </c>
      <c r="E21" s="1">
        <v>95</v>
      </c>
      <c r="F21" s="1">
        <v>89.4</v>
      </c>
      <c r="G21" s="1">
        <f>Table1[[#This Row],[Tickets_Received]]-Table1[[#This Row],[Tickets_Resolved]]</f>
        <v>83</v>
      </c>
      <c r="H21" s="2">
        <f>Table1[[#This Row],[SLA_Achieved]]/Table1[[#This Row],[SLA_Target]]</f>
        <v>0.94105263157894747</v>
      </c>
    </row>
    <row r="22" spans="1:8" x14ac:dyDescent="0.3">
      <c r="A22" s="1" t="s">
        <v>15</v>
      </c>
      <c r="B22" s="1" t="s">
        <v>7</v>
      </c>
      <c r="C22" s="1">
        <v>1467</v>
      </c>
      <c r="D22" s="1">
        <v>1277</v>
      </c>
      <c r="E22" s="1">
        <v>95</v>
      </c>
      <c r="F22" s="1">
        <v>87.37</v>
      </c>
      <c r="G22" s="1">
        <f>Table1[[#This Row],[Tickets_Received]]-Table1[[#This Row],[Tickets_Resolved]]</f>
        <v>190</v>
      </c>
      <c r="H22" s="2">
        <f>Table1[[#This Row],[SLA_Achieved]]/Table1[[#This Row],[SLA_Target]]</f>
        <v>0.91968421052631588</v>
      </c>
    </row>
    <row r="23" spans="1:8" x14ac:dyDescent="0.3">
      <c r="A23" s="1" t="s">
        <v>15</v>
      </c>
      <c r="B23" s="1" t="s">
        <v>8</v>
      </c>
      <c r="C23" s="1">
        <v>1117</v>
      </c>
      <c r="D23" s="1">
        <v>941</v>
      </c>
      <c r="E23" s="1">
        <v>95</v>
      </c>
      <c r="F23" s="1">
        <v>87.43</v>
      </c>
      <c r="G23" s="1">
        <f>Table1[[#This Row],[Tickets_Received]]-Table1[[#This Row],[Tickets_Resolved]]</f>
        <v>176</v>
      </c>
      <c r="H23" s="2">
        <f>Table1[[#This Row],[SLA_Achieved]]/Table1[[#This Row],[SLA_Target]]</f>
        <v>0.92031578947368431</v>
      </c>
    </row>
    <row r="24" spans="1:8" x14ac:dyDescent="0.3">
      <c r="A24" s="1" t="s">
        <v>15</v>
      </c>
      <c r="B24" s="1" t="s">
        <v>9</v>
      </c>
      <c r="C24" s="1">
        <v>1491</v>
      </c>
      <c r="D24" s="1">
        <v>1281</v>
      </c>
      <c r="E24" s="1">
        <v>95</v>
      </c>
      <c r="F24" s="1">
        <v>97.42</v>
      </c>
      <c r="G24" s="1">
        <f>Table1[[#This Row],[Tickets_Received]]-Table1[[#This Row],[Tickets_Resolved]]</f>
        <v>210</v>
      </c>
      <c r="H24" s="2">
        <f>Table1[[#This Row],[SLA_Achieved]]/Table1[[#This Row],[SLA_Target]]</f>
        <v>1.0254736842105263</v>
      </c>
    </row>
    <row r="25" spans="1:8" x14ac:dyDescent="0.3">
      <c r="A25" s="1" t="s">
        <v>15</v>
      </c>
      <c r="B25" s="1" t="s">
        <v>10</v>
      </c>
      <c r="C25" s="1">
        <v>1443</v>
      </c>
      <c r="D25" s="1">
        <v>1128</v>
      </c>
      <c r="E25" s="1">
        <v>95</v>
      </c>
      <c r="F25" s="1">
        <v>99.45</v>
      </c>
      <c r="G25" s="1">
        <f>Table1[[#This Row],[Tickets_Received]]-Table1[[#This Row],[Tickets_Resolved]]</f>
        <v>315</v>
      </c>
      <c r="H25" s="2">
        <f>Table1[[#This Row],[SLA_Achieved]]/Table1[[#This Row],[SLA_Target]]</f>
        <v>1.046842105263158</v>
      </c>
    </row>
    <row r="26" spans="1:8" x14ac:dyDescent="0.3">
      <c r="A26" s="1" t="s">
        <v>16</v>
      </c>
      <c r="B26" s="1" t="s">
        <v>7</v>
      </c>
      <c r="C26" s="1">
        <v>1315</v>
      </c>
      <c r="D26" s="1">
        <v>1235</v>
      </c>
      <c r="E26" s="1">
        <v>95</v>
      </c>
      <c r="F26" s="1">
        <v>88.59</v>
      </c>
      <c r="G26" s="1">
        <f>Table1[[#This Row],[Tickets_Received]]-Table1[[#This Row],[Tickets_Resolved]]</f>
        <v>80</v>
      </c>
      <c r="H26" s="2">
        <f>Table1[[#This Row],[SLA_Achieved]]/Table1[[#This Row],[SLA_Target]]</f>
        <v>0.93252631578947376</v>
      </c>
    </row>
    <row r="27" spans="1:8" x14ac:dyDescent="0.3">
      <c r="A27" s="1" t="s">
        <v>16</v>
      </c>
      <c r="B27" s="1" t="s">
        <v>8</v>
      </c>
      <c r="C27" s="1">
        <v>809</v>
      </c>
      <c r="D27" s="1">
        <v>794</v>
      </c>
      <c r="E27" s="1">
        <v>95</v>
      </c>
      <c r="F27" s="1">
        <v>90.61</v>
      </c>
      <c r="G27" s="1">
        <f>Table1[[#This Row],[Tickets_Received]]-Table1[[#This Row],[Tickets_Resolved]]</f>
        <v>15</v>
      </c>
      <c r="H27" s="2">
        <f>Table1[[#This Row],[SLA_Achieved]]/Table1[[#This Row],[SLA_Target]]</f>
        <v>0.95378947368421052</v>
      </c>
    </row>
    <row r="28" spans="1:8" x14ac:dyDescent="0.3">
      <c r="A28" s="1" t="s">
        <v>16</v>
      </c>
      <c r="B28" s="1" t="s">
        <v>9</v>
      </c>
      <c r="C28" s="1">
        <v>1239</v>
      </c>
      <c r="D28" s="1">
        <v>1167</v>
      </c>
      <c r="E28" s="1">
        <v>95</v>
      </c>
      <c r="F28" s="1">
        <v>90.28</v>
      </c>
      <c r="G28" s="1">
        <f>Table1[[#This Row],[Tickets_Received]]-Table1[[#This Row],[Tickets_Resolved]]</f>
        <v>72</v>
      </c>
      <c r="H28" s="2">
        <f>Table1[[#This Row],[SLA_Achieved]]/Table1[[#This Row],[SLA_Target]]</f>
        <v>0.95031578947368422</v>
      </c>
    </row>
    <row r="29" spans="1:8" x14ac:dyDescent="0.3">
      <c r="A29" s="1" t="s">
        <v>16</v>
      </c>
      <c r="B29" s="1" t="s">
        <v>10</v>
      </c>
      <c r="C29" s="1">
        <v>917</v>
      </c>
      <c r="D29" s="1">
        <v>746</v>
      </c>
      <c r="E29" s="1">
        <v>95</v>
      </c>
      <c r="F29" s="1">
        <v>85.83</v>
      </c>
      <c r="G29" s="1">
        <f>Table1[[#This Row],[Tickets_Received]]-Table1[[#This Row],[Tickets_Resolved]]</f>
        <v>171</v>
      </c>
      <c r="H29" s="2">
        <f>Table1[[#This Row],[SLA_Achieved]]/Table1[[#This Row],[SLA_Target]]</f>
        <v>0.90347368421052632</v>
      </c>
    </row>
    <row r="30" spans="1:8" x14ac:dyDescent="0.3">
      <c r="A30" s="1" t="s">
        <v>17</v>
      </c>
      <c r="B30" s="1" t="s">
        <v>7</v>
      </c>
      <c r="C30" s="1">
        <v>1071</v>
      </c>
      <c r="D30" s="1">
        <v>1026</v>
      </c>
      <c r="E30" s="1">
        <v>95</v>
      </c>
      <c r="F30" s="1">
        <v>95.69</v>
      </c>
      <c r="G30" s="1">
        <f>Table1[[#This Row],[Tickets_Received]]-Table1[[#This Row],[Tickets_Resolved]]</f>
        <v>45</v>
      </c>
      <c r="H30" s="2">
        <f>Table1[[#This Row],[SLA_Achieved]]/Table1[[#This Row],[SLA_Target]]</f>
        <v>1.0072631578947369</v>
      </c>
    </row>
    <row r="31" spans="1:8" x14ac:dyDescent="0.3">
      <c r="A31" s="1" t="s">
        <v>17</v>
      </c>
      <c r="B31" s="1" t="s">
        <v>8</v>
      </c>
      <c r="C31" s="1">
        <v>1344</v>
      </c>
      <c r="D31" s="1">
        <v>1087</v>
      </c>
      <c r="E31" s="1">
        <v>95</v>
      </c>
      <c r="F31" s="1">
        <v>98.44</v>
      </c>
      <c r="G31" s="1">
        <f>Table1[[#This Row],[Tickets_Received]]-Table1[[#This Row],[Tickets_Resolved]]</f>
        <v>257</v>
      </c>
      <c r="H31" s="2">
        <f>Table1[[#This Row],[SLA_Achieved]]/Table1[[#This Row],[SLA_Target]]</f>
        <v>1.0362105263157895</v>
      </c>
    </row>
    <row r="32" spans="1:8" x14ac:dyDescent="0.3">
      <c r="A32" s="1" t="s">
        <v>17</v>
      </c>
      <c r="B32" s="1" t="s">
        <v>9</v>
      </c>
      <c r="C32" s="1">
        <v>975</v>
      </c>
      <c r="D32" s="1">
        <v>770</v>
      </c>
      <c r="E32" s="1">
        <v>95</v>
      </c>
      <c r="F32" s="1">
        <v>86.31</v>
      </c>
      <c r="G32" s="1">
        <f>Table1[[#This Row],[Tickets_Received]]-Table1[[#This Row],[Tickets_Resolved]]</f>
        <v>205</v>
      </c>
      <c r="H32" s="2">
        <f>Table1[[#This Row],[SLA_Achieved]]/Table1[[#This Row],[SLA_Target]]</f>
        <v>0.90852631578947374</v>
      </c>
    </row>
    <row r="33" spans="1:8" x14ac:dyDescent="0.3">
      <c r="A33" s="1" t="s">
        <v>17</v>
      </c>
      <c r="B33" s="1" t="s">
        <v>10</v>
      </c>
      <c r="C33" s="1">
        <v>1188</v>
      </c>
      <c r="D33" s="1">
        <v>944</v>
      </c>
      <c r="E33" s="1">
        <v>95</v>
      </c>
      <c r="F33" s="1">
        <v>98.01</v>
      </c>
      <c r="G33" s="1">
        <f>Table1[[#This Row],[Tickets_Received]]-Table1[[#This Row],[Tickets_Resolved]]</f>
        <v>244</v>
      </c>
      <c r="H33" s="2">
        <f>Table1[[#This Row],[SLA_Achieved]]/Table1[[#This Row],[SLA_Target]]</f>
        <v>1.0316842105263158</v>
      </c>
    </row>
    <row r="34" spans="1:8" x14ac:dyDescent="0.3">
      <c r="A34" s="1" t="s">
        <v>18</v>
      </c>
      <c r="B34" s="1" t="s">
        <v>7</v>
      </c>
      <c r="C34" s="1">
        <v>1108</v>
      </c>
      <c r="D34" s="1">
        <v>1014</v>
      </c>
      <c r="E34" s="1">
        <v>95</v>
      </c>
      <c r="F34" s="1">
        <v>92.81</v>
      </c>
      <c r="G34" s="1">
        <f>Table1[[#This Row],[Tickets_Received]]-Table1[[#This Row],[Tickets_Resolved]]</f>
        <v>94</v>
      </c>
      <c r="H34" s="2">
        <f>Table1[[#This Row],[SLA_Achieved]]/Table1[[#This Row],[SLA_Target]]</f>
        <v>0.97694736842105268</v>
      </c>
    </row>
    <row r="35" spans="1:8" x14ac:dyDescent="0.3">
      <c r="A35" s="1" t="s">
        <v>18</v>
      </c>
      <c r="B35" s="1" t="s">
        <v>8</v>
      </c>
      <c r="C35" s="1">
        <v>847</v>
      </c>
      <c r="D35" s="1">
        <v>790</v>
      </c>
      <c r="E35" s="1">
        <v>95</v>
      </c>
      <c r="F35" s="1">
        <v>88.59</v>
      </c>
      <c r="G35" s="1">
        <f>Table1[[#This Row],[Tickets_Received]]-Table1[[#This Row],[Tickets_Resolved]]</f>
        <v>57</v>
      </c>
      <c r="H35" s="2">
        <f>Table1[[#This Row],[SLA_Achieved]]/Table1[[#This Row],[SLA_Target]]</f>
        <v>0.93252631578947376</v>
      </c>
    </row>
    <row r="36" spans="1:8" x14ac:dyDescent="0.3">
      <c r="A36" s="1" t="s">
        <v>18</v>
      </c>
      <c r="B36" s="1" t="s">
        <v>9</v>
      </c>
      <c r="C36" s="1">
        <v>1458</v>
      </c>
      <c r="D36" s="1">
        <v>1279</v>
      </c>
      <c r="E36" s="1">
        <v>95</v>
      </c>
      <c r="F36" s="1">
        <v>85.76</v>
      </c>
      <c r="G36" s="1">
        <f>Table1[[#This Row],[Tickets_Received]]-Table1[[#This Row],[Tickets_Resolved]]</f>
        <v>179</v>
      </c>
      <c r="H36" s="2">
        <f>Table1[[#This Row],[SLA_Achieved]]/Table1[[#This Row],[SLA_Target]]</f>
        <v>0.90273684210526317</v>
      </c>
    </row>
    <row r="37" spans="1:8" x14ac:dyDescent="0.3">
      <c r="A37" s="1" t="s">
        <v>18</v>
      </c>
      <c r="B37" s="1" t="s">
        <v>10</v>
      </c>
      <c r="C37" s="1">
        <v>1362</v>
      </c>
      <c r="D37" s="1">
        <v>1200</v>
      </c>
      <c r="E37" s="1">
        <v>95</v>
      </c>
      <c r="F37" s="1">
        <v>88.52</v>
      </c>
      <c r="G37" s="1">
        <f>Table1[[#This Row],[Tickets_Received]]-Table1[[#This Row],[Tickets_Resolved]]</f>
        <v>162</v>
      </c>
      <c r="H37" s="2">
        <f>Table1[[#This Row],[SLA_Achieved]]/Table1[[#This Row],[SLA_Target]]</f>
        <v>0.9317894736842105</v>
      </c>
    </row>
    <row r="38" spans="1:8" x14ac:dyDescent="0.3">
      <c r="A38" s="1" t="s">
        <v>19</v>
      </c>
      <c r="B38" s="1" t="s">
        <v>7</v>
      </c>
      <c r="C38" s="1">
        <v>976</v>
      </c>
      <c r="D38" s="1">
        <v>960</v>
      </c>
      <c r="E38" s="1">
        <v>95</v>
      </c>
      <c r="F38" s="1">
        <v>89.97</v>
      </c>
      <c r="G38" s="1">
        <f>Table1[[#This Row],[Tickets_Received]]-Table1[[#This Row],[Tickets_Resolved]]</f>
        <v>16</v>
      </c>
      <c r="H38" s="2">
        <f>Table1[[#This Row],[SLA_Achieved]]/Table1[[#This Row],[SLA_Target]]</f>
        <v>0.94705263157894737</v>
      </c>
    </row>
    <row r="39" spans="1:8" x14ac:dyDescent="0.3">
      <c r="A39" s="1" t="s">
        <v>19</v>
      </c>
      <c r="B39" s="1" t="s">
        <v>8</v>
      </c>
      <c r="C39" s="1">
        <v>1120</v>
      </c>
      <c r="D39" s="1">
        <v>895</v>
      </c>
      <c r="E39" s="1">
        <v>95</v>
      </c>
      <c r="F39" s="1">
        <v>95.98</v>
      </c>
      <c r="G39" s="1">
        <f>Table1[[#This Row],[Tickets_Received]]-Table1[[#This Row],[Tickets_Resolved]]</f>
        <v>225</v>
      </c>
      <c r="H39" s="2">
        <f>Table1[[#This Row],[SLA_Achieved]]/Table1[[#This Row],[SLA_Target]]</f>
        <v>1.0103157894736843</v>
      </c>
    </row>
    <row r="40" spans="1:8" x14ac:dyDescent="0.3">
      <c r="A40" s="1" t="s">
        <v>19</v>
      </c>
      <c r="B40" s="1" t="s">
        <v>9</v>
      </c>
      <c r="C40" s="1">
        <v>1499</v>
      </c>
      <c r="D40" s="1">
        <v>1316</v>
      </c>
      <c r="E40" s="1">
        <v>95</v>
      </c>
      <c r="F40" s="1">
        <v>91.41</v>
      </c>
      <c r="G40" s="1">
        <f>Table1[[#This Row],[Tickets_Received]]-Table1[[#This Row],[Tickets_Resolved]]</f>
        <v>183</v>
      </c>
      <c r="H40" s="2">
        <f>Table1[[#This Row],[SLA_Achieved]]/Table1[[#This Row],[SLA_Target]]</f>
        <v>0.96221052631578941</v>
      </c>
    </row>
    <row r="41" spans="1:8" x14ac:dyDescent="0.3">
      <c r="A41" s="1" t="s">
        <v>19</v>
      </c>
      <c r="B41" s="1" t="s">
        <v>10</v>
      </c>
      <c r="C41" s="1">
        <v>1389</v>
      </c>
      <c r="D41" s="1">
        <v>1201</v>
      </c>
      <c r="E41" s="1">
        <v>95</v>
      </c>
      <c r="F41" s="1">
        <v>85.72</v>
      </c>
      <c r="G41" s="1">
        <f>Table1[[#This Row],[Tickets_Received]]-Table1[[#This Row],[Tickets_Resolved]]</f>
        <v>188</v>
      </c>
      <c r="H41" s="2">
        <f>Table1[[#This Row],[SLA_Achieved]]/Table1[[#This Row],[SLA_Target]]</f>
        <v>0.90231578947368418</v>
      </c>
    </row>
    <row r="42" spans="1:8" x14ac:dyDescent="0.3">
      <c r="A42" s="1" t="s">
        <v>20</v>
      </c>
      <c r="B42" s="1" t="s">
        <v>7</v>
      </c>
      <c r="C42" s="1">
        <v>1238</v>
      </c>
      <c r="D42" s="1">
        <v>1155</v>
      </c>
      <c r="E42" s="1">
        <v>95</v>
      </c>
      <c r="F42" s="1">
        <v>88.33</v>
      </c>
      <c r="G42" s="1">
        <f>Table1[[#This Row],[Tickets_Received]]-Table1[[#This Row],[Tickets_Resolved]]</f>
        <v>83</v>
      </c>
      <c r="H42" s="2">
        <f>Table1[[#This Row],[SLA_Achieved]]/Table1[[#This Row],[SLA_Target]]</f>
        <v>0.9297894736842105</v>
      </c>
    </row>
    <row r="43" spans="1:8" x14ac:dyDescent="0.3">
      <c r="A43" s="1" t="s">
        <v>20</v>
      </c>
      <c r="B43" s="1" t="s">
        <v>8</v>
      </c>
      <c r="C43" s="1">
        <v>858</v>
      </c>
      <c r="D43" s="1">
        <v>699</v>
      </c>
      <c r="E43" s="1">
        <v>95</v>
      </c>
      <c r="F43" s="1">
        <v>90.5</v>
      </c>
      <c r="G43" s="1">
        <f>Table1[[#This Row],[Tickets_Received]]-Table1[[#This Row],[Tickets_Resolved]]</f>
        <v>159</v>
      </c>
      <c r="H43" s="2">
        <f>Table1[[#This Row],[SLA_Achieved]]/Table1[[#This Row],[SLA_Target]]</f>
        <v>0.95263157894736838</v>
      </c>
    </row>
    <row r="44" spans="1:8" x14ac:dyDescent="0.3">
      <c r="A44" s="1" t="s">
        <v>20</v>
      </c>
      <c r="B44" s="1" t="s">
        <v>9</v>
      </c>
      <c r="C44" s="1">
        <v>842</v>
      </c>
      <c r="D44" s="1">
        <v>639</v>
      </c>
      <c r="E44" s="1">
        <v>95</v>
      </c>
      <c r="F44" s="1">
        <v>91.88</v>
      </c>
      <c r="G44" s="1">
        <f>Table1[[#This Row],[Tickets_Received]]-Table1[[#This Row],[Tickets_Resolved]]</f>
        <v>203</v>
      </c>
      <c r="H44" s="2">
        <f>Table1[[#This Row],[SLA_Achieved]]/Table1[[#This Row],[SLA_Target]]</f>
        <v>0.96715789473684211</v>
      </c>
    </row>
    <row r="45" spans="1:8" x14ac:dyDescent="0.3">
      <c r="A45" s="1" t="s">
        <v>20</v>
      </c>
      <c r="B45" s="1" t="s">
        <v>10</v>
      </c>
      <c r="C45" s="1">
        <v>1196</v>
      </c>
      <c r="D45" s="1">
        <v>1036</v>
      </c>
      <c r="E45" s="1">
        <v>95</v>
      </c>
      <c r="F45" s="1">
        <v>93.12</v>
      </c>
      <c r="G45" s="1">
        <f>Table1[[#This Row],[Tickets_Received]]-Table1[[#This Row],[Tickets_Resolved]]</f>
        <v>160</v>
      </c>
      <c r="H45" s="2">
        <f>Table1[[#This Row],[SLA_Achieved]]/Table1[[#This Row],[SLA_Target]]</f>
        <v>0.98021052631578953</v>
      </c>
    </row>
    <row r="46" spans="1:8" x14ac:dyDescent="0.3">
      <c r="A46" s="1" t="s">
        <v>21</v>
      </c>
      <c r="B46" s="1" t="s">
        <v>7</v>
      </c>
      <c r="C46" s="1">
        <v>1356</v>
      </c>
      <c r="D46" s="1">
        <v>1199</v>
      </c>
      <c r="E46" s="1">
        <v>95</v>
      </c>
      <c r="F46" s="1">
        <v>92.02</v>
      </c>
      <c r="G46" s="1">
        <f>Table1[[#This Row],[Tickets_Received]]-Table1[[#This Row],[Tickets_Resolved]]</f>
        <v>157</v>
      </c>
      <c r="H46" s="2">
        <f>Table1[[#This Row],[SLA_Achieved]]/Table1[[#This Row],[SLA_Target]]</f>
        <v>0.9686315789473684</v>
      </c>
    </row>
    <row r="47" spans="1:8" x14ac:dyDescent="0.3">
      <c r="A47" s="1" t="s">
        <v>21</v>
      </c>
      <c r="B47" s="1" t="s">
        <v>8</v>
      </c>
      <c r="C47" s="1">
        <v>1101</v>
      </c>
      <c r="D47" s="1">
        <v>877</v>
      </c>
      <c r="E47" s="1">
        <v>95</v>
      </c>
      <c r="F47" s="1">
        <v>98.99</v>
      </c>
      <c r="G47" s="1">
        <f>Table1[[#This Row],[Tickets_Received]]-Table1[[#This Row],[Tickets_Resolved]]</f>
        <v>224</v>
      </c>
      <c r="H47" s="2">
        <f>Table1[[#This Row],[SLA_Achieved]]/Table1[[#This Row],[SLA_Target]]</f>
        <v>1.042</v>
      </c>
    </row>
    <row r="48" spans="1:8" x14ac:dyDescent="0.3">
      <c r="A48" s="1" t="s">
        <v>21</v>
      </c>
      <c r="B48" s="1" t="s">
        <v>9</v>
      </c>
      <c r="C48" s="1">
        <v>819</v>
      </c>
      <c r="D48" s="1">
        <v>640</v>
      </c>
      <c r="E48" s="1">
        <v>95</v>
      </c>
      <c r="F48" s="1">
        <v>94.2</v>
      </c>
      <c r="G48" s="1">
        <f>Table1[[#This Row],[Tickets_Received]]-Table1[[#This Row],[Tickets_Resolved]]</f>
        <v>179</v>
      </c>
      <c r="H48" s="2">
        <f>Table1[[#This Row],[SLA_Achieved]]/Table1[[#This Row],[SLA_Target]]</f>
        <v>0.99157894736842112</v>
      </c>
    </row>
    <row r="49" spans="1:8" x14ac:dyDescent="0.3">
      <c r="A49" s="1" t="s">
        <v>21</v>
      </c>
      <c r="B49" s="1" t="s">
        <v>10</v>
      </c>
      <c r="C49" s="1">
        <v>1441</v>
      </c>
      <c r="D49" s="1">
        <v>1121</v>
      </c>
      <c r="E49" s="1">
        <v>95</v>
      </c>
      <c r="F49" s="1">
        <v>94.74</v>
      </c>
      <c r="G49" s="1">
        <f>Table1[[#This Row],[Tickets_Received]]-Table1[[#This Row],[Tickets_Resolved]]</f>
        <v>320</v>
      </c>
      <c r="H49" s="2">
        <f>Table1[[#This Row],[SLA_Achieved]]/Table1[[#This Row],[SLA_Target]]</f>
        <v>0.99726315789473674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E5CAA-FD6F-4C25-A7F2-459375F9E37E}">
  <dimension ref="A3:H28"/>
  <sheetViews>
    <sheetView topLeftCell="A2" workbookViewId="0">
      <selection activeCell="D16" sqref="D16"/>
    </sheetView>
  </sheetViews>
  <sheetFormatPr defaultRowHeight="14.4" x14ac:dyDescent="0.3"/>
  <cols>
    <col min="1" max="1" width="12.5546875" bestFit="1" customWidth="1"/>
    <col min="2" max="2" width="16.6640625" bestFit="1" customWidth="1"/>
    <col min="3" max="3" width="22.109375" bestFit="1" customWidth="1"/>
    <col min="6" max="6" width="12.5546875" bestFit="1" customWidth="1"/>
    <col min="7" max="8" width="14.88671875" bestFit="1" customWidth="1"/>
  </cols>
  <sheetData>
    <row r="3" spans="1:8" x14ac:dyDescent="0.3">
      <c r="A3" s="14" t="s">
        <v>24</v>
      </c>
      <c r="B3" s="15" t="s">
        <v>26</v>
      </c>
      <c r="F3" s="9" t="s">
        <v>24</v>
      </c>
      <c r="G3" s="5" t="s">
        <v>27</v>
      </c>
      <c r="H3" s="5" t="s">
        <v>28</v>
      </c>
    </row>
    <row r="4" spans="1:8" x14ac:dyDescent="0.3">
      <c r="A4" s="15" t="s">
        <v>6</v>
      </c>
      <c r="B4" s="16">
        <v>95.097499999999997</v>
      </c>
      <c r="F4" s="5" t="s">
        <v>6</v>
      </c>
      <c r="G4" s="18">
        <v>4003</v>
      </c>
      <c r="H4" s="18">
        <v>3309</v>
      </c>
    </row>
    <row r="5" spans="1:8" x14ac:dyDescent="0.3">
      <c r="A5" s="15" t="s">
        <v>11</v>
      </c>
      <c r="B5" s="16">
        <v>96.432500000000005</v>
      </c>
      <c r="F5" s="5" t="s">
        <v>11</v>
      </c>
      <c r="G5" s="18">
        <v>4572</v>
      </c>
      <c r="H5" s="18">
        <v>4136</v>
      </c>
    </row>
    <row r="6" spans="1:8" x14ac:dyDescent="0.3">
      <c r="A6" s="15" t="s">
        <v>12</v>
      </c>
      <c r="B6" s="16">
        <v>91.657499999999999</v>
      </c>
      <c r="F6" s="5" t="s">
        <v>12</v>
      </c>
      <c r="G6" s="18">
        <v>4421</v>
      </c>
      <c r="H6" s="18">
        <v>3851</v>
      </c>
    </row>
    <row r="7" spans="1:8" x14ac:dyDescent="0.3">
      <c r="A7" s="15" t="s">
        <v>13</v>
      </c>
      <c r="B7" s="16">
        <v>93.597499999999997</v>
      </c>
      <c r="F7" s="5" t="s">
        <v>13</v>
      </c>
      <c r="G7" s="18">
        <v>4059</v>
      </c>
      <c r="H7" s="18">
        <v>3319</v>
      </c>
    </row>
    <row r="8" spans="1:8" x14ac:dyDescent="0.3">
      <c r="A8" s="15" t="s">
        <v>14</v>
      </c>
      <c r="B8" s="16">
        <v>92.962500000000006</v>
      </c>
      <c r="F8" s="5" t="s">
        <v>14</v>
      </c>
      <c r="G8" s="18">
        <v>4248</v>
      </c>
      <c r="H8" s="18">
        <v>3860</v>
      </c>
    </row>
    <row r="9" spans="1:8" x14ac:dyDescent="0.3">
      <c r="A9" s="15" t="s">
        <v>15</v>
      </c>
      <c r="B9" s="16">
        <v>92.917500000000004</v>
      </c>
      <c r="F9" s="5" t="s">
        <v>15</v>
      </c>
      <c r="G9" s="18">
        <v>5518</v>
      </c>
      <c r="H9" s="18">
        <v>4627</v>
      </c>
    </row>
    <row r="10" spans="1:8" x14ac:dyDescent="0.3">
      <c r="A10" s="15" t="s">
        <v>16</v>
      </c>
      <c r="B10" s="16">
        <v>88.827500000000001</v>
      </c>
      <c r="F10" s="5" t="s">
        <v>16</v>
      </c>
      <c r="G10" s="18">
        <v>4280</v>
      </c>
      <c r="H10" s="18">
        <v>3942</v>
      </c>
    </row>
    <row r="11" spans="1:8" x14ac:dyDescent="0.3">
      <c r="A11" s="15" t="s">
        <v>17</v>
      </c>
      <c r="B11" s="16">
        <v>94.612499999999997</v>
      </c>
      <c r="F11" s="5" t="s">
        <v>17</v>
      </c>
      <c r="G11" s="18">
        <v>4578</v>
      </c>
      <c r="H11" s="18">
        <v>3827</v>
      </c>
    </row>
    <row r="12" spans="1:8" x14ac:dyDescent="0.3">
      <c r="A12" s="15" t="s">
        <v>18</v>
      </c>
      <c r="B12" s="16">
        <v>88.92</v>
      </c>
      <c r="F12" s="5" t="s">
        <v>18</v>
      </c>
      <c r="G12" s="18">
        <v>4775</v>
      </c>
      <c r="H12" s="18">
        <v>4283</v>
      </c>
    </row>
    <row r="13" spans="1:8" x14ac:dyDescent="0.3">
      <c r="A13" s="15" t="s">
        <v>19</v>
      </c>
      <c r="B13" s="16">
        <v>90.77000000000001</v>
      </c>
      <c r="F13" s="5" t="s">
        <v>19</v>
      </c>
      <c r="G13" s="18">
        <v>4984</v>
      </c>
      <c r="H13" s="18">
        <v>4372</v>
      </c>
    </row>
    <row r="14" spans="1:8" x14ac:dyDescent="0.3">
      <c r="A14" s="15" t="s">
        <v>20</v>
      </c>
      <c r="B14" s="16">
        <v>90.957499999999996</v>
      </c>
      <c r="F14" s="5" t="s">
        <v>20</v>
      </c>
      <c r="G14" s="18">
        <v>4134</v>
      </c>
      <c r="H14" s="18">
        <v>3529</v>
      </c>
    </row>
    <row r="15" spans="1:8" x14ac:dyDescent="0.3">
      <c r="A15" s="15" t="s">
        <v>21</v>
      </c>
      <c r="B15" s="16">
        <v>94.987499999999997</v>
      </c>
      <c r="F15" s="5" t="s">
        <v>21</v>
      </c>
      <c r="G15" s="18">
        <v>4717</v>
      </c>
      <c r="H15" s="18">
        <v>3837</v>
      </c>
    </row>
    <row r="16" spans="1:8" x14ac:dyDescent="0.3">
      <c r="A16" s="15" t="s">
        <v>25</v>
      </c>
      <c r="B16" s="17">
        <v>92.644999999999996</v>
      </c>
      <c r="F16" s="5" t="s">
        <v>25</v>
      </c>
      <c r="G16" s="8">
        <v>54289</v>
      </c>
      <c r="H16" s="8">
        <v>46892</v>
      </c>
    </row>
    <row r="23" spans="1:2" x14ac:dyDescent="0.3">
      <c r="A23" s="3" t="s">
        <v>24</v>
      </c>
      <c r="B23" s="4" t="s">
        <v>26</v>
      </c>
    </row>
    <row r="24" spans="1:2" x14ac:dyDescent="0.3">
      <c r="A24" s="5" t="s">
        <v>10</v>
      </c>
      <c r="B24" s="6">
        <v>91.485833333333332</v>
      </c>
    </row>
    <row r="25" spans="1:2" x14ac:dyDescent="0.3">
      <c r="A25" s="5" t="s">
        <v>9</v>
      </c>
      <c r="B25" s="6">
        <v>93.644166666666663</v>
      </c>
    </row>
    <row r="26" spans="1:2" x14ac:dyDescent="0.3">
      <c r="A26" s="5" t="s">
        <v>8</v>
      </c>
      <c r="B26" s="13">
        <v>92.98</v>
      </c>
    </row>
    <row r="27" spans="1:2" x14ac:dyDescent="0.3">
      <c r="A27" s="5" t="s">
        <v>7</v>
      </c>
      <c r="B27" s="13">
        <v>92.470000000000013</v>
      </c>
    </row>
    <row r="28" spans="1:2" x14ac:dyDescent="0.3">
      <c r="A28" s="5" t="s">
        <v>25</v>
      </c>
      <c r="B28" s="6">
        <v>92.645000000000039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77212-0387-4C6F-83B8-36F1C35E457B}">
  <dimension ref="A1"/>
  <sheetViews>
    <sheetView showGridLines="0" workbookViewId="0">
      <selection activeCell="J28" sqref="J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02988-A1F1-4862-82F5-011CFA3F745E}">
  <dimension ref="A1:D25"/>
  <sheetViews>
    <sheetView showGridLines="0" tabSelected="1" workbookViewId="0">
      <selection activeCell="I14" sqref="I14"/>
    </sheetView>
  </sheetViews>
  <sheetFormatPr defaultRowHeight="14.4" x14ac:dyDescent="0.3"/>
  <cols>
    <col min="1" max="1" width="11.5546875" customWidth="1"/>
    <col min="2" max="2" width="8.88671875" bestFit="1" customWidth="1"/>
    <col min="3" max="3" width="17.21875" customWidth="1"/>
    <col min="4" max="4" width="9.88671875" customWidth="1"/>
    <col min="8" max="8" width="9.33203125" bestFit="1" customWidth="1"/>
    <col min="10" max="10" width="8" bestFit="1" customWidth="1"/>
  </cols>
  <sheetData>
    <row r="1" spans="1:4" x14ac:dyDescent="0.3">
      <c r="A1" s="12" t="s">
        <v>29</v>
      </c>
      <c r="B1" s="22" t="s">
        <v>0</v>
      </c>
      <c r="C1" s="22" t="s">
        <v>2</v>
      </c>
      <c r="D1" s="11" t="s">
        <v>30</v>
      </c>
    </row>
    <row r="2" spans="1:4" x14ac:dyDescent="0.3">
      <c r="A2" s="19">
        <v>1</v>
      </c>
      <c r="B2" s="7" t="s">
        <v>6</v>
      </c>
      <c r="C2" s="7">
        <f>SUMIF(SLA_Forecasting_Data!A:A,Forecasting!B2,SLA_Forecasting_Data!C:C)</f>
        <v>4003</v>
      </c>
      <c r="D2" s="20"/>
    </row>
    <row r="3" spans="1:4" x14ac:dyDescent="0.3">
      <c r="A3" s="19">
        <v>2</v>
      </c>
      <c r="B3" s="7" t="s">
        <v>11</v>
      </c>
      <c r="C3" s="7">
        <f>SUMIF(SLA_Forecasting_Data!A:A,Forecasting!B3,SLA_Forecasting_Data!C:C)</f>
        <v>4572</v>
      </c>
      <c r="D3" s="20"/>
    </row>
    <row r="4" spans="1:4" x14ac:dyDescent="0.3">
      <c r="A4" s="19">
        <v>3</v>
      </c>
      <c r="B4" s="7" t="s">
        <v>12</v>
      </c>
      <c r="C4" s="7">
        <f>SUMIF(SLA_Forecasting_Data!A:A,Forecasting!B4,SLA_Forecasting_Data!C:C)</f>
        <v>4421</v>
      </c>
      <c r="D4" s="20"/>
    </row>
    <row r="5" spans="1:4" x14ac:dyDescent="0.3">
      <c r="A5" s="19">
        <v>4</v>
      </c>
      <c r="B5" s="7" t="s">
        <v>13</v>
      </c>
      <c r="C5" s="7">
        <f>SUMIF(SLA_Forecasting_Data!A:A,Forecasting!B5,SLA_Forecasting_Data!C:C)</f>
        <v>4059</v>
      </c>
      <c r="D5" s="20"/>
    </row>
    <row r="6" spans="1:4" x14ac:dyDescent="0.3">
      <c r="A6" s="19">
        <v>5</v>
      </c>
      <c r="B6" s="7" t="s">
        <v>14</v>
      </c>
      <c r="C6" s="7">
        <f>SUMIF(SLA_Forecasting_Data!A:A,Forecasting!B6,SLA_Forecasting_Data!C:C)</f>
        <v>4248</v>
      </c>
      <c r="D6" s="20"/>
    </row>
    <row r="7" spans="1:4" x14ac:dyDescent="0.3">
      <c r="A7" s="19">
        <v>6</v>
      </c>
      <c r="B7" s="7" t="s">
        <v>15</v>
      </c>
      <c r="C7" s="7">
        <f>SUMIF(SLA_Forecasting_Data!A:A,Forecasting!B7,SLA_Forecasting_Data!C:C)</f>
        <v>5518</v>
      </c>
      <c r="D7" s="20"/>
    </row>
    <row r="8" spans="1:4" x14ac:dyDescent="0.3">
      <c r="A8" s="19">
        <v>7</v>
      </c>
      <c r="B8" s="7" t="s">
        <v>16</v>
      </c>
      <c r="C8" s="7">
        <f>SUMIF(SLA_Forecasting_Data!A:A,Forecasting!B8,SLA_Forecasting_Data!C:C)</f>
        <v>4280</v>
      </c>
      <c r="D8" s="20"/>
    </row>
    <row r="9" spans="1:4" x14ac:dyDescent="0.3">
      <c r="A9" s="19">
        <v>8</v>
      </c>
      <c r="B9" s="7" t="s">
        <v>17</v>
      </c>
      <c r="C9" s="7">
        <f>SUMIF(SLA_Forecasting_Data!A:A,Forecasting!B9,SLA_Forecasting_Data!C:C)</f>
        <v>4578</v>
      </c>
      <c r="D9" s="20"/>
    </row>
    <row r="10" spans="1:4" x14ac:dyDescent="0.3">
      <c r="A10" s="19">
        <v>9</v>
      </c>
      <c r="B10" s="7" t="s">
        <v>18</v>
      </c>
      <c r="C10" s="7">
        <f>SUMIF(SLA_Forecasting_Data!A:A,Forecasting!B10,SLA_Forecasting_Data!C:C)</f>
        <v>4775</v>
      </c>
      <c r="D10" s="20"/>
    </row>
    <row r="11" spans="1:4" x14ac:dyDescent="0.3">
      <c r="A11" s="19">
        <v>10</v>
      </c>
      <c r="B11" s="7" t="s">
        <v>19</v>
      </c>
      <c r="C11" s="7">
        <f>SUMIF(SLA_Forecasting_Data!A:A,Forecasting!B11,SLA_Forecasting_Data!C:C)</f>
        <v>4984</v>
      </c>
      <c r="D11" s="20"/>
    </row>
    <row r="12" spans="1:4" x14ac:dyDescent="0.3">
      <c r="A12" s="19">
        <v>11</v>
      </c>
      <c r="B12" s="7" t="s">
        <v>20</v>
      </c>
      <c r="C12" s="7">
        <f>SUMIF(SLA_Forecasting_Data!A:A,Forecasting!B12,SLA_Forecasting_Data!C:C)</f>
        <v>4134</v>
      </c>
      <c r="D12" s="20"/>
    </row>
    <row r="13" spans="1:4" x14ac:dyDescent="0.3">
      <c r="A13" s="19">
        <v>12</v>
      </c>
      <c r="B13" s="7" t="s">
        <v>21</v>
      </c>
      <c r="C13" s="7">
        <f>SUMIF(SLA_Forecasting_Data!A:A,Forecasting!B13,SLA_Forecasting_Data!C:C)</f>
        <v>4717</v>
      </c>
      <c r="D13" s="20"/>
    </row>
    <row r="14" spans="1:4" x14ac:dyDescent="0.3">
      <c r="A14" s="19">
        <v>13</v>
      </c>
      <c r="B14" s="7" t="s">
        <v>31</v>
      </c>
      <c r="C14" s="7"/>
      <c r="D14" s="21">
        <f>_xlfn.FORECAST.LINEAR(A14,Forecasting!$C$2:$C$13,Forecasting!$A$2:$A$13)</f>
        <v>4778.287878787879</v>
      </c>
    </row>
    <row r="15" spans="1:4" x14ac:dyDescent="0.3">
      <c r="A15" s="19">
        <v>14</v>
      </c>
      <c r="B15" s="7" t="s">
        <v>32</v>
      </c>
      <c r="C15" s="7"/>
      <c r="D15" s="21">
        <f>_xlfn.FORECAST.LINEAR(A15,Forecasting!$C$2:$C$13,Forecasting!$A$2:$A$13)</f>
        <v>4817.3962703962707</v>
      </c>
    </row>
    <row r="16" spans="1:4" x14ac:dyDescent="0.3">
      <c r="A16" s="19">
        <v>15</v>
      </c>
      <c r="B16" s="7" t="s">
        <v>33</v>
      </c>
      <c r="C16" s="7"/>
      <c r="D16" s="21">
        <f>_xlfn.FORECAST.LINEAR(A16,Forecasting!$C$2:$C$13,Forecasting!$A$2:$A$13)</f>
        <v>4856.5046620046624</v>
      </c>
    </row>
    <row r="17" spans="1:4" x14ac:dyDescent="0.3">
      <c r="A17" s="19">
        <v>16</v>
      </c>
      <c r="B17" s="7" t="s">
        <v>34</v>
      </c>
      <c r="C17" s="7"/>
      <c r="D17" s="21">
        <f>_xlfn.FORECAST.LINEAR(A17,Forecasting!$C$2:$C$13,Forecasting!$A$2:$A$13)</f>
        <v>4895.613053613054</v>
      </c>
    </row>
    <row r="18" spans="1:4" x14ac:dyDescent="0.3">
      <c r="A18" s="19">
        <v>17</v>
      </c>
      <c r="B18" s="7" t="s">
        <v>35</v>
      </c>
      <c r="C18" s="7"/>
      <c r="D18" s="21">
        <f>_xlfn.FORECAST.LINEAR(A18,Forecasting!$C$2:$C$13,Forecasting!$A$2:$A$13)</f>
        <v>4934.7214452214448</v>
      </c>
    </row>
    <row r="19" spans="1:4" x14ac:dyDescent="0.3">
      <c r="A19" s="19">
        <v>18</v>
      </c>
      <c r="B19" s="7" t="s">
        <v>36</v>
      </c>
      <c r="C19" s="7"/>
      <c r="D19" s="21">
        <f>_xlfn.FORECAST.LINEAR(A19,Forecasting!$C$2:$C$13,Forecasting!$A$2:$A$13)</f>
        <v>4973.8298368298365</v>
      </c>
    </row>
    <row r="20" spans="1:4" x14ac:dyDescent="0.3">
      <c r="A20" s="19">
        <v>19</v>
      </c>
      <c r="B20" s="7" t="s">
        <v>37</v>
      </c>
      <c r="C20" s="7"/>
      <c r="D20" s="21">
        <f>_xlfn.FORECAST.LINEAR(A20,Forecasting!$C$2:$C$13,Forecasting!$A$2:$A$13)</f>
        <v>5012.9382284382282</v>
      </c>
    </row>
    <row r="21" spans="1:4" x14ac:dyDescent="0.3">
      <c r="A21" s="19">
        <v>20</v>
      </c>
      <c r="B21" s="7" t="s">
        <v>38</v>
      </c>
      <c r="C21" s="7"/>
      <c r="D21" s="21">
        <f>_xlfn.FORECAST.LINEAR(A21,Forecasting!$C$2:$C$13,Forecasting!$A$2:$A$13)</f>
        <v>5052.0466200466199</v>
      </c>
    </row>
    <row r="22" spans="1:4" x14ac:dyDescent="0.3">
      <c r="A22" s="19">
        <v>21</v>
      </c>
      <c r="B22" s="7" t="s">
        <v>39</v>
      </c>
      <c r="C22" s="7"/>
      <c r="D22" s="21">
        <f>_xlfn.FORECAST.LINEAR(A22,Forecasting!$C$2:$C$13,Forecasting!$A$2:$A$13)</f>
        <v>5091.1550116550115</v>
      </c>
    </row>
    <row r="23" spans="1:4" x14ac:dyDescent="0.3">
      <c r="A23" s="19">
        <v>22</v>
      </c>
      <c r="B23" s="7" t="s">
        <v>40</v>
      </c>
      <c r="C23" s="7"/>
      <c r="D23" s="21">
        <f>_xlfn.FORECAST.LINEAR(A23,Forecasting!$C$2:$C$13,Forecasting!$A$2:$A$13)</f>
        <v>5130.2634032634032</v>
      </c>
    </row>
    <row r="24" spans="1:4" x14ac:dyDescent="0.3">
      <c r="A24" s="19">
        <v>23</v>
      </c>
      <c r="B24" s="7" t="s">
        <v>41</v>
      </c>
      <c r="C24" s="7"/>
      <c r="D24" s="21">
        <f>_xlfn.FORECAST.LINEAR(A24,Forecasting!$C$2:$C$13,Forecasting!$A$2:$A$13)</f>
        <v>5169.3717948717949</v>
      </c>
    </row>
    <row r="25" spans="1:4" x14ac:dyDescent="0.3">
      <c r="A25" s="10">
        <v>24</v>
      </c>
      <c r="B25" s="23" t="s">
        <v>42</v>
      </c>
      <c r="C25" s="23"/>
      <c r="D25" s="24">
        <f>_xlfn.FORECAST.LINEAR(A25,Forecasting!$C$2:$C$13,Forecasting!$A$2:$A$13)</f>
        <v>5208.4801864801866</v>
      </c>
    </row>
  </sheetData>
  <phoneticPr fontId="2"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SLA_Forecasting_Data</vt:lpstr>
      <vt:lpstr>Pivot</vt:lpstr>
      <vt:lpstr>Sheet1</vt:lpstr>
      <vt:lpstr>Forecasting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Nitesh Jangid</cp:lastModifiedBy>
  <dcterms:created xsi:type="dcterms:W3CDTF">2026-04-17T11:43:51Z</dcterms:created>
  <dcterms:modified xsi:type="dcterms:W3CDTF">2026-04-20T10:48:59Z</dcterms:modified>
</cp:coreProperties>
</file>